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BELANDA\PhD Thesis\Code\MATLAB\amode_navigation_experiment\experiment_b\outputs\"/>
    </mc:Choice>
  </mc:AlternateContent>
  <xr:revisionPtr revIDLastSave="0" documentId="13_ncr:1_{6EC2A7B3-DC7B-4FED-A640-7620AA6C5F4D}" xr6:coauthVersionLast="47" xr6:coauthVersionMax="47" xr10:uidLastSave="{00000000-0000-0000-0000-000000000000}"/>
  <bookViews>
    <workbookView xWindow="-120" yWindow="-120" windowWidth="38640" windowHeight="21240" activeTab="2" xr2:uid="{B592097C-7DAF-4CBB-990E-BEE084540A4C}"/>
  </bookViews>
  <sheets>
    <sheet name="kinematicEval" sheetId="1" r:id="rId1"/>
    <sheet name="kinematicEval_firstlast" sheetId="3" r:id="rId2"/>
    <sheet name="kinematicEval_firstlast (2)" sheetId="5" r:id="rId3"/>
    <sheet name="registrationEval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7" i="5" l="1"/>
  <c r="N57" i="5"/>
  <c r="M57" i="5"/>
  <c r="L57" i="5"/>
  <c r="K57" i="5"/>
  <c r="J57" i="5"/>
  <c r="G57" i="5"/>
  <c r="F57" i="5"/>
  <c r="E57" i="5"/>
  <c r="D57" i="5"/>
  <c r="C57" i="5"/>
  <c r="B57" i="5"/>
  <c r="O56" i="5"/>
  <c r="N56" i="5"/>
  <c r="M56" i="5"/>
  <c r="L56" i="5"/>
  <c r="K56" i="5"/>
  <c r="J56" i="5"/>
  <c r="G56" i="5"/>
  <c r="F56" i="5"/>
  <c r="E56" i="5"/>
  <c r="D56" i="5"/>
  <c r="C56" i="5"/>
  <c r="B56" i="5"/>
  <c r="O55" i="5"/>
  <c r="N55" i="5"/>
  <c r="M55" i="5"/>
  <c r="L55" i="5"/>
  <c r="K55" i="5"/>
  <c r="J55" i="5"/>
  <c r="G55" i="5"/>
  <c r="F55" i="5"/>
  <c r="E55" i="5"/>
  <c r="D55" i="5"/>
  <c r="C55" i="5"/>
  <c r="B55" i="5"/>
  <c r="O54" i="5"/>
  <c r="N54" i="5"/>
  <c r="M54" i="5"/>
  <c r="L54" i="5"/>
  <c r="K54" i="5"/>
  <c r="J54" i="5"/>
  <c r="G54" i="5"/>
  <c r="F54" i="5"/>
  <c r="E54" i="5"/>
  <c r="D54" i="5"/>
  <c r="C54" i="5"/>
  <c r="B54" i="5"/>
  <c r="O53" i="5"/>
  <c r="N53" i="5"/>
  <c r="M53" i="5"/>
  <c r="L53" i="5"/>
  <c r="K53" i="5"/>
  <c r="J53" i="5"/>
  <c r="G53" i="5"/>
  <c r="F53" i="5"/>
  <c r="E53" i="5"/>
  <c r="D53" i="5"/>
  <c r="C53" i="5"/>
  <c r="B53" i="5"/>
  <c r="O52" i="5"/>
  <c r="N52" i="5"/>
  <c r="M52" i="5"/>
  <c r="L52" i="5"/>
  <c r="K52" i="5"/>
  <c r="J52" i="5"/>
  <c r="G52" i="5"/>
  <c r="F52" i="5"/>
  <c r="E52" i="5"/>
  <c r="D52" i="5"/>
  <c r="C52" i="5"/>
  <c r="B52" i="5"/>
  <c r="O48" i="5"/>
  <c r="N48" i="5"/>
  <c r="M48" i="5"/>
  <c r="L48" i="5"/>
  <c r="K48" i="5"/>
  <c r="J48" i="5"/>
  <c r="G48" i="5"/>
  <c r="F48" i="5"/>
  <c r="E48" i="5"/>
  <c r="D48" i="5"/>
  <c r="C48" i="5"/>
  <c r="B48" i="5"/>
  <c r="O47" i="5"/>
  <c r="N47" i="5"/>
  <c r="M47" i="5"/>
  <c r="L47" i="5"/>
  <c r="K47" i="5"/>
  <c r="J47" i="5"/>
  <c r="G47" i="5"/>
  <c r="F47" i="5"/>
  <c r="E47" i="5"/>
  <c r="D47" i="5"/>
  <c r="C47" i="5"/>
  <c r="B47" i="5"/>
  <c r="O46" i="5"/>
  <c r="N46" i="5"/>
  <c r="M46" i="5"/>
  <c r="L46" i="5"/>
  <c r="K46" i="5"/>
  <c r="J46" i="5"/>
  <c r="G46" i="5"/>
  <c r="F46" i="5"/>
  <c r="E46" i="5"/>
  <c r="D46" i="5"/>
  <c r="C46" i="5"/>
  <c r="B46" i="5"/>
  <c r="O45" i="5"/>
  <c r="N45" i="5"/>
  <c r="M45" i="5"/>
  <c r="L45" i="5"/>
  <c r="K45" i="5"/>
  <c r="J45" i="5"/>
  <c r="G45" i="5"/>
  <c r="F45" i="5"/>
  <c r="E45" i="5"/>
  <c r="D45" i="5"/>
  <c r="C45" i="5"/>
  <c r="B45" i="5"/>
  <c r="O44" i="5"/>
  <c r="N44" i="5"/>
  <c r="M44" i="5"/>
  <c r="L44" i="5"/>
  <c r="K44" i="5"/>
  <c r="J44" i="5"/>
  <c r="G44" i="5"/>
  <c r="F44" i="5"/>
  <c r="E44" i="5"/>
  <c r="D44" i="5"/>
  <c r="C44" i="5"/>
  <c r="B44" i="5"/>
  <c r="O43" i="5"/>
  <c r="N43" i="5"/>
  <c r="M43" i="5"/>
  <c r="L43" i="5"/>
  <c r="K43" i="5"/>
  <c r="J43" i="5"/>
  <c r="G43" i="5"/>
  <c r="F43" i="5"/>
  <c r="E43" i="5"/>
  <c r="D43" i="5"/>
  <c r="C43" i="5"/>
  <c r="B43" i="5"/>
  <c r="B11" i="4"/>
  <c r="C11" i="4"/>
  <c r="B12" i="4"/>
  <c r="C12" i="4"/>
  <c r="D11" i="4"/>
  <c r="E11" i="4"/>
  <c r="D12" i="4"/>
  <c r="E12" i="4"/>
  <c r="B8" i="4"/>
  <c r="C8" i="4"/>
  <c r="D8" i="4"/>
  <c r="E8" i="4"/>
  <c r="E7" i="4"/>
  <c r="D7" i="4"/>
  <c r="C7" i="4"/>
  <c r="B7" i="4"/>
  <c r="B30" i="1"/>
  <c r="C30" i="1"/>
  <c r="D30" i="1"/>
  <c r="B31" i="1"/>
  <c r="C31" i="1"/>
  <c r="D31" i="1"/>
  <c r="B32" i="1"/>
  <c r="C32" i="1"/>
  <c r="D32" i="1"/>
  <c r="B33" i="1"/>
  <c r="C33" i="1"/>
  <c r="D33" i="1"/>
  <c r="B34" i="1"/>
  <c r="C34" i="1"/>
  <c r="D34" i="1"/>
  <c r="B35" i="1"/>
  <c r="C35" i="1"/>
  <c r="D35" i="1"/>
  <c r="E30" i="1"/>
  <c r="F30" i="1"/>
  <c r="G30" i="1"/>
  <c r="E31" i="1"/>
  <c r="F31" i="1"/>
  <c r="G31" i="1"/>
  <c r="E32" i="1"/>
  <c r="F32" i="1"/>
  <c r="G32" i="1"/>
  <c r="H30" i="1"/>
  <c r="I30" i="1"/>
  <c r="J30" i="1"/>
  <c r="H31" i="1"/>
  <c r="I31" i="1"/>
  <c r="J31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B22" i="1"/>
  <c r="C22" i="1"/>
  <c r="D22" i="1"/>
  <c r="E22" i="1"/>
  <c r="F22" i="1"/>
  <c r="G22" i="1"/>
  <c r="H22" i="1"/>
  <c r="I22" i="1"/>
  <c r="J22" i="1"/>
  <c r="B23" i="1"/>
  <c r="C23" i="1"/>
  <c r="D23" i="1"/>
  <c r="E23" i="1"/>
  <c r="F23" i="1"/>
  <c r="G23" i="1"/>
  <c r="H23" i="1"/>
  <c r="I23" i="1"/>
  <c r="J23" i="1"/>
  <c r="B24" i="1"/>
  <c r="C24" i="1"/>
  <c r="D24" i="1"/>
  <c r="E24" i="1"/>
  <c r="F24" i="1"/>
  <c r="G24" i="1"/>
  <c r="H24" i="1"/>
  <c r="I24" i="1"/>
  <c r="J24" i="1"/>
  <c r="B25" i="1"/>
  <c r="C25" i="1"/>
  <c r="D25" i="1"/>
  <c r="E25" i="1"/>
  <c r="F25" i="1"/>
  <c r="G25" i="1"/>
  <c r="H25" i="1"/>
  <c r="I25" i="1"/>
  <c r="J25" i="1"/>
  <c r="B26" i="1"/>
  <c r="C26" i="1"/>
  <c r="D26" i="1"/>
  <c r="E26" i="1"/>
  <c r="F26" i="1"/>
  <c r="G26" i="1"/>
  <c r="H26" i="1"/>
  <c r="I26" i="1"/>
  <c r="J26" i="1"/>
  <c r="J21" i="1"/>
  <c r="I21" i="1"/>
  <c r="H21" i="1"/>
  <c r="G21" i="1"/>
  <c r="F21" i="1"/>
  <c r="E21" i="1"/>
  <c r="D21" i="1"/>
  <c r="C21" i="1"/>
  <c r="B21" i="1"/>
  <c r="J23" i="3"/>
  <c r="K23" i="3"/>
  <c r="J24" i="3"/>
  <c r="K24" i="3"/>
  <c r="J25" i="3"/>
  <c r="K25" i="3"/>
  <c r="J26" i="3"/>
  <c r="K26" i="3"/>
  <c r="J27" i="3"/>
  <c r="K27" i="3"/>
  <c r="J28" i="3"/>
  <c r="K28" i="3"/>
  <c r="B33" i="3"/>
  <c r="C33" i="3"/>
  <c r="D33" i="3"/>
  <c r="E33" i="3"/>
  <c r="F33" i="3"/>
  <c r="G33" i="3"/>
  <c r="B34" i="3"/>
  <c r="C34" i="3"/>
  <c r="D34" i="3"/>
  <c r="E34" i="3"/>
  <c r="F34" i="3"/>
  <c r="G34" i="3"/>
  <c r="B35" i="3"/>
  <c r="C35" i="3"/>
  <c r="D35" i="3"/>
  <c r="E35" i="3"/>
  <c r="F35" i="3"/>
  <c r="G35" i="3"/>
  <c r="B36" i="3"/>
  <c r="C36" i="3"/>
  <c r="D36" i="3"/>
  <c r="E36" i="3"/>
  <c r="F36" i="3"/>
  <c r="G36" i="3"/>
  <c r="B37" i="3"/>
  <c r="C37" i="3"/>
  <c r="D37" i="3"/>
  <c r="E37" i="3"/>
  <c r="F37" i="3"/>
  <c r="G37" i="3"/>
  <c r="G32" i="3"/>
  <c r="F32" i="3"/>
  <c r="E32" i="3"/>
  <c r="D32" i="3"/>
  <c r="C32" i="3"/>
  <c r="B32" i="3"/>
  <c r="B24" i="3"/>
  <c r="C24" i="3"/>
  <c r="D24" i="3"/>
  <c r="E24" i="3"/>
  <c r="F24" i="3"/>
  <c r="G24" i="3"/>
  <c r="B25" i="3"/>
  <c r="C25" i="3"/>
  <c r="D25" i="3"/>
  <c r="E25" i="3"/>
  <c r="F25" i="3"/>
  <c r="G25" i="3"/>
  <c r="B26" i="3"/>
  <c r="C26" i="3"/>
  <c r="D26" i="3"/>
  <c r="E26" i="3"/>
  <c r="F26" i="3"/>
  <c r="G26" i="3"/>
  <c r="B27" i="3"/>
  <c r="C27" i="3"/>
  <c r="D27" i="3"/>
  <c r="E27" i="3"/>
  <c r="F27" i="3"/>
  <c r="G27" i="3"/>
  <c r="B28" i="3"/>
  <c r="C28" i="3"/>
  <c r="D28" i="3"/>
  <c r="E28" i="3"/>
  <c r="F28" i="3"/>
  <c r="G28" i="3"/>
  <c r="G23" i="3"/>
  <c r="F23" i="3"/>
  <c r="E23" i="3"/>
  <c r="D23" i="3"/>
  <c r="C23" i="3"/>
  <c r="B23" i="3"/>
  <c r="J33" i="3"/>
  <c r="K33" i="3"/>
  <c r="L33" i="3"/>
  <c r="M33" i="3"/>
  <c r="N33" i="3"/>
  <c r="O33" i="3"/>
  <c r="J34" i="3"/>
  <c r="K34" i="3"/>
  <c r="L34" i="3"/>
  <c r="M34" i="3"/>
  <c r="N34" i="3"/>
  <c r="O34" i="3"/>
  <c r="J35" i="3"/>
  <c r="K35" i="3"/>
  <c r="L35" i="3"/>
  <c r="M35" i="3"/>
  <c r="N35" i="3"/>
  <c r="O35" i="3"/>
  <c r="J36" i="3"/>
  <c r="K36" i="3"/>
  <c r="L36" i="3"/>
  <c r="M36" i="3"/>
  <c r="N36" i="3"/>
  <c r="O36" i="3"/>
  <c r="J37" i="3"/>
  <c r="K37" i="3"/>
  <c r="L37" i="3"/>
  <c r="M37" i="3"/>
  <c r="N37" i="3"/>
  <c r="O37" i="3"/>
  <c r="O32" i="3"/>
  <c r="N32" i="3"/>
  <c r="M32" i="3"/>
  <c r="L32" i="3"/>
  <c r="K32" i="3"/>
  <c r="J32" i="3"/>
  <c r="L24" i="3"/>
  <c r="M24" i="3"/>
  <c r="N24" i="3"/>
  <c r="O24" i="3"/>
  <c r="L25" i="3"/>
  <c r="M25" i="3"/>
  <c r="N25" i="3"/>
  <c r="O25" i="3"/>
  <c r="L26" i="3"/>
  <c r="M26" i="3"/>
  <c r="N26" i="3"/>
  <c r="O26" i="3"/>
  <c r="L27" i="3"/>
  <c r="M27" i="3"/>
  <c r="N27" i="3"/>
  <c r="O27" i="3"/>
  <c r="L28" i="3"/>
  <c r="M28" i="3"/>
  <c r="N28" i="3"/>
  <c r="O28" i="3"/>
  <c r="O23" i="3"/>
  <c r="M23" i="3"/>
  <c r="L23" i="3"/>
  <c r="N23" i="3"/>
  <c r="E13" i="1"/>
  <c r="F13" i="1"/>
  <c r="G13" i="1"/>
  <c r="H13" i="1"/>
  <c r="I13" i="1"/>
  <c r="J13" i="1"/>
  <c r="K13" i="1"/>
  <c r="L13" i="1"/>
  <c r="M13" i="1"/>
  <c r="N13" i="1"/>
  <c r="O13" i="1"/>
  <c r="P13" i="1"/>
  <c r="E14" i="1"/>
  <c r="F14" i="1"/>
  <c r="G14" i="1"/>
  <c r="H14" i="1"/>
  <c r="I14" i="1"/>
  <c r="J14" i="1"/>
  <c r="K14" i="1"/>
  <c r="L14" i="1"/>
  <c r="M14" i="1"/>
  <c r="N14" i="1"/>
  <c r="O14" i="1"/>
  <c r="P14" i="1"/>
  <c r="E15" i="1"/>
  <c r="F15" i="1"/>
  <c r="G15" i="1"/>
  <c r="H15" i="1"/>
  <c r="I15" i="1"/>
  <c r="J15" i="1"/>
  <c r="K15" i="1"/>
  <c r="L15" i="1"/>
  <c r="M15" i="1"/>
  <c r="N15" i="1"/>
  <c r="O15" i="1"/>
  <c r="P15" i="1"/>
  <c r="E16" i="1"/>
  <c r="F16" i="1"/>
  <c r="G16" i="1"/>
  <c r="H16" i="1"/>
  <c r="I16" i="1"/>
  <c r="J16" i="1"/>
  <c r="K16" i="1"/>
  <c r="L16" i="1"/>
  <c r="M16" i="1"/>
  <c r="N16" i="1"/>
  <c r="O16" i="1"/>
  <c r="P16" i="1"/>
  <c r="E17" i="1"/>
  <c r="F17" i="1"/>
  <c r="G17" i="1"/>
  <c r="H17" i="1"/>
  <c r="I17" i="1"/>
  <c r="J17" i="1"/>
  <c r="K17" i="1"/>
  <c r="L17" i="1"/>
  <c r="M17" i="1"/>
  <c r="N17" i="1"/>
  <c r="O17" i="1"/>
  <c r="P17" i="1"/>
  <c r="P12" i="1"/>
  <c r="O12" i="1"/>
  <c r="N12" i="1"/>
  <c r="M12" i="1"/>
  <c r="L12" i="1"/>
  <c r="K12" i="1"/>
  <c r="J12" i="1"/>
  <c r="I12" i="1"/>
  <c r="H12" i="1"/>
  <c r="G12" i="1"/>
  <c r="F12" i="1"/>
  <c r="C13" i="1"/>
  <c r="C14" i="1"/>
  <c r="C15" i="1"/>
  <c r="C16" i="1"/>
  <c r="C17" i="1"/>
  <c r="C12" i="1"/>
  <c r="E12" i="1"/>
  <c r="D13" i="1"/>
  <c r="D14" i="1"/>
  <c r="D15" i="1"/>
  <c r="D16" i="1"/>
  <c r="D17" i="1"/>
  <c r="D12" i="1"/>
  <c r="B13" i="1"/>
  <c r="B14" i="1"/>
  <c r="B15" i="1"/>
  <c r="B16" i="1"/>
  <c r="B17" i="1"/>
  <c r="B12" i="1"/>
</calcChain>
</file>

<file path=xl/sharedStrings.xml><?xml version="1.0" encoding="utf-8"?>
<sst xmlns="http://schemas.openxmlformats.org/spreadsheetml/2006/main" count="378" uniqueCount="35">
  <si>
    <t>tx</t>
  </si>
  <si>
    <t>ty</t>
  </si>
  <si>
    <t>tz</t>
  </si>
  <si>
    <t>rx</t>
  </si>
  <si>
    <t>ry</t>
  </si>
  <si>
    <t>rz</t>
  </si>
  <si>
    <t>rsme_mean</t>
  </si>
  <si>
    <t>rmse_std</t>
  </si>
  <si>
    <t>mad_q2</t>
  </si>
  <si>
    <t>mad_uw</t>
  </si>
  <si>
    <t>corr</t>
  </si>
  <si>
    <t>with-nav</t>
  </si>
  <si>
    <t>no-nav, manual</t>
  </si>
  <si>
    <t>no-nav, auto (2x noise)</t>
  </si>
  <si>
    <t>no-nav, auto (3x noise)</t>
  </si>
  <si>
    <t>rmse</t>
  </si>
  <si>
    <t>mad</t>
  </si>
  <si>
    <t>no-nav, auto (4x noise)</t>
  </si>
  <si>
    <t>First n-cycle</t>
  </si>
  <si>
    <t>Last n-cycle</t>
  </si>
  <si>
    <t>first n-cycle</t>
  </si>
  <si>
    <t>last n-cycle</t>
  </si>
  <si>
    <t>RMSE</t>
  </si>
  <si>
    <t>MAD</t>
  </si>
  <si>
    <t>Corr</t>
  </si>
  <si>
    <t>I must create the format manually, Idk what happen with the excel, so annoying</t>
  </si>
  <si>
    <t>mean</t>
  </si>
  <si>
    <t>std</t>
  </si>
  <si>
    <t>no-nav, auto 3x noise</t>
  </si>
  <si>
    <t>no-nav, auto 2x noise</t>
  </si>
  <si>
    <t>us2estbone</t>
  </si>
  <si>
    <t>estbone2gtbone</t>
  </si>
  <si>
    <t>h</t>
  </si>
  <si>
    <t>p</t>
  </si>
  <si>
    <t>Significance 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</si>
</sst>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0"/>
  </numFmts>
  <fonts count="3" x14ac:knownFonts="1">
    <font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2" fontId="0" fillId="0" borderId="3" xfId="0" applyNumberFormat="1" applyBorder="1"/>
    <xf numFmtId="2" fontId="0" fillId="0" borderId="4" xfId="0" applyNumberFormat="1" applyBorder="1"/>
    <xf numFmtId="0" fontId="0" fillId="0" borderId="2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" fontId="2" fillId="2" borderId="3" xfId="0" applyNumberFormat="1" applyFont="1" applyFill="1" applyBorder="1"/>
    <xf numFmtId="0" fontId="2" fillId="2" borderId="1" xfId="0" applyFont="1" applyFill="1" applyBorder="1"/>
    <xf numFmtId="0" fontId="2" fillId="2" borderId="3" xfId="0" applyFont="1" applyFill="1" applyBorder="1"/>
    <xf numFmtId="2" fontId="2" fillId="2" borderId="1" xfId="0" applyNumberFormat="1" applyFont="1" applyFill="1" applyBorder="1"/>
    <xf numFmtId="0" fontId="0" fillId="0" borderId="0" xfId="0" applyAlignment="1"/>
    <xf numFmtId="0" fontId="0" fillId="0" borderId="1" xfId="0" applyBorder="1" applyAlignment="1"/>
    <xf numFmtId="1" fontId="0" fillId="0" borderId="0" xfId="0" applyNumberFormat="1"/>
    <xf numFmtId="171" fontId="0" fillId="0" borderId="0" xfId="0" applyNumberFormat="1"/>
    <xf numFmtId="0" fontId="2" fillId="3" borderId="3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148">
    <dxf>
      <font>
        <color rgb="FF00B05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2C8F-FAD4-4E05-9612-C09A7D0EC342}">
  <dimension ref="A1:Z35"/>
  <sheetViews>
    <sheetView zoomScale="130" zoomScaleNormal="130" workbookViewId="0">
      <selection activeCell="F40" sqref="F40"/>
    </sheetView>
  </sheetViews>
  <sheetFormatPr defaultRowHeight="15" x14ac:dyDescent="0.25"/>
  <cols>
    <col min="1" max="26" width="12.7109375" customWidth="1"/>
  </cols>
  <sheetData>
    <row r="1" spans="1:26" x14ac:dyDescent="0.25">
      <c r="B1" s="4" t="s">
        <v>11</v>
      </c>
      <c r="C1" s="4"/>
      <c r="D1" s="4"/>
      <c r="E1" s="4"/>
      <c r="F1" s="4"/>
      <c r="G1" s="4" t="s">
        <v>12</v>
      </c>
      <c r="H1" s="4"/>
      <c r="I1" s="4"/>
      <c r="J1" s="4"/>
      <c r="K1" s="4"/>
      <c r="L1" s="4" t="s">
        <v>13</v>
      </c>
      <c r="M1" s="4"/>
      <c r="N1" s="4"/>
      <c r="O1" s="4"/>
      <c r="P1" s="4"/>
      <c r="Q1" s="5" t="s">
        <v>14</v>
      </c>
      <c r="R1" s="5"/>
      <c r="S1" s="5"/>
      <c r="T1" s="5"/>
      <c r="U1" s="5"/>
      <c r="V1" s="5" t="s">
        <v>17</v>
      </c>
      <c r="W1" s="5"/>
      <c r="X1" s="5"/>
      <c r="Y1" s="5"/>
      <c r="Z1" s="5"/>
    </row>
    <row r="2" spans="1:26" x14ac:dyDescent="0.25"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</row>
    <row r="3" spans="1:26" x14ac:dyDescent="0.25">
      <c r="A3" t="s">
        <v>0</v>
      </c>
      <c r="B3" s="1">
        <v>3.69514731172226</v>
      </c>
      <c r="C3" s="1">
        <v>1.06236012425472</v>
      </c>
      <c r="D3" s="1">
        <v>3.3686852316004501</v>
      </c>
      <c r="E3" s="1">
        <v>6.79096548633391</v>
      </c>
      <c r="F3" s="1">
        <v>0.99600004112783203</v>
      </c>
      <c r="G3" s="1">
        <v>6.70967570784362</v>
      </c>
      <c r="H3" s="1">
        <v>5.1289494426540898</v>
      </c>
      <c r="I3" s="1">
        <v>2.6610672031828502</v>
      </c>
      <c r="J3" s="1">
        <v>17.075431185269299</v>
      </c>
      <c r="K3" s="1">
        <v>0.98133763413798303</v>
      </c>
      <c r="L3" s="1">
        <v>5.5308895664222497</v>
      </c>
      <c r="M3" s="1">
        <v>3.9160974450991199</v>
      </c>
      <c r="N3" s="1">
        <v>2.95538725349817</v>
      </c>
      <c r="O3" s="1">
        <v>13.0525014710443</v>
      </c>
      <c r="P3" s="1">
        <v>0.99055095826475403</v>
      </c>
      <c r="Q3" s="3">
        <v>5.7327675206177</v>
      </c>
      <c r="R3" s="3">
        <v>3.66903817560409</v>
      </c>
      <c r="S3" s="3">
        <v>4.4364056807120704</v>
      </c>
      <c r="T3" s="3">
        <v>10.522998404846501</v>
      </c>
      <c r="U3" s="3">
        <v>0.99608838347707696</v>
      </c>
      <c r="V3" s="2"/>
      <c r="W3" s="2"/>
      <c r="X3" s="2"/>
      <c r="Y3" s="2"/>
      <c r="Z3" s="2"/>
    </row>
    <row r="4" spans="1:26" x14ac:dyDescent="0.25">
      <c r="A4" t="s">
        <v>1</v>
      </c>
      <c r="B4" s="1">
        <v>2.2970250944358401</v>
      </c>
      <c r="C4" s="1">
        <v>1.6048075860048501</v>
      </c>
      <c r="D4" s="1">
        <v>1.4261592430915999</v>
      </c>
      <c r="E4" s="1">
        <v>4.7950879027546804</v>
      </c>
      <c r="F4" s="1">
        <v>0.92308484798192603</v>
      </c>
      <c r="G4" s="1">
        <v>7.1672808940967396</v>
      </c>
      <c r="H4" s="1">
        <v>1.77138298620735</v>
      </c>
      <c r="I4" s="1">
        <v>6.6804859675955601</v>
      </c>
      <c r="J4" s="1">
        <v>10.751660895563701</v>
      </c>
      <c r="K4" s="1">
        <v>0.626160533408048</v>
      </c>
      <c r="L4" s="1">
        <v>6.7613878415646802</v>
      </c>
      <c r="M4" s="1">
        <v>1.8479977150125499</v>
      </c>
      <c r="N4" s="1">
        <v>6.4965713099578997</v>
      </c>
      <c r="O4" s="1">
        <v>11.3762812564801</v>
      </c>
      <c r="P4" s="1">
        <v>0.68318914881161197</v>
      </c>
      <c r="Q4" s="3">
        <v>10.379350748654099</v>
      </c>
      <c r="R4" s="3">
        <v>1.5502326445646999</v>
      </c>
      <c r="S4" s="3">
        <v>10.513464221750301</v>
      </c>
      <c r="T4" s="3">
        <v>13.9569339532532</v>
      </c>
      <c r="U4" s="3">
        <v>0.93064454297293897</v>
      </c>
      <c r="V4" s="2"/>
      <c r="W4" s="2"/>
      <c r="X4" s="2"/>
      <c r="Y4" s="2"/>
      <c r="Z4" s="2"/>
    </row>
    <row r="5" spans="1:26" x14ac:dyDescent="0.25">
      <c r="A5" t="s">
        <v>2</v>
      </c>
      <c r="B5" s="1">
        <v>0.99948141482634101</v>
      </c>
      <c r="C5" s="1">
        <v>0.97479222682147804</v>
      </c>
      <c r="D5" s="1">
        <v>0.67899885034825203</v>
      </c>
      <c r="E5" s="1">
        <v>2.27889241128024</v>
      </c>
      <c r="F5" s="1">
        <v>0.74302324011302501</v>
      </c>
      <c r="G5" s="1">
        <v>2.4235663623461101</v>
      </c>
      <c r="H5" s="1">
        <v>1.1784837697683499</v>
      </c>
      <c r="I5" s="1">
        <v>2.3070522111021798</v>
      </c>
      <c r="J5" s="1">
        <v>4.4253464364447304</v>
      </c>
      <c r="K5" s="1">
        <v>0.49611207988471301</v>
      </c>
      <c r="L5" s="1">
        <v>3.4127441136584702</v>
      </c>
      <c r="M5" s="1">
        <v>1.4349820782549301</v>
      </c>
      <c r="N5" s="1">
        <v>3.1472185029143498</v>
      </c>
      <c r="O5" s="1">
        <v>6.0440796723552603</v>
      </c>
      <c r="P5" s="1">
        <v>0.29808218227862499</v>
      </c>
      <c r="Q5" s="3">
        <v>2.91578744067579</v>
      </c>
      <c r="R5" s="3">
        <v>0.60235193696079103</v>
      </c>
      <c r="S5" s="3">
        <v>2.84504224385392</v>
      </c>
      <c r="T5" s="3">
        <v>4.2373245597122597</v>
      </c>
      <c r="U5" s="3">
        <v>0.91031560434757497</v>
      </c>
      <c r="V5" s="2"/>
      <c r="W5" s="2"/>
      <c r="X5" s="2"/>
      <c r="Y5" s="2"/>
      <c r="Z5" s="2"/>
    </row>
    <row r="6" spans="1:26" x14ac:dyDescent="0.25">
      <c r="A6" t="s">
        <v>3</v>
      </c>
      <c r="B6" s="1">
        <v>0.717275929128246</v>
      </c>
      <c r="C6" s="1">
        <v>0.34826540483749002</v>
      </c>
      <c r="D6" s="1">
        <v>0.65739546433538998</v>
      </c>
      <c r="E6" s="1">
        <v>1.3541686289793</v>
      </c>
      <c r="F6" s="1">
        <v>0.97304979668886304</v>
      </c>
      <c r="G6" s="1">
        <v>1.2160825814348699</v>
      </c>
      <c r="H6" s="1">
        <v>0.28715189412304298</v>
      </c>
      <c r="I6" s="1">
        <v>1.2096420132655501</v>
      </c>
      <c r="J6" s="1">
        <v>1.7893699167236199</v>
      </c>
      <c r="K6" s="1">
        <v>0.99508197809270205</v>
      </c>
      <c r="L6" s="1">
        <v>1.9229685932921201</v>
      </c>
      <c r="M6" s="1">
        <v>0.33277148545936203</v>
      </c>
      <c r="N6" s="1">
        <v>1.9293844477486199</v>
      </c>
      <c r="O6" s="1">
        <v>2.5759419825299399</v>
      </c>
      <c r="P6" s="1">
        <v>0.99224936689461696</v>
      </c>
      <c r="Q6" s="3">
        <v>2.42275426796472</v>
      </c>
      <c r="R6" s="3">
        <v>0.28106559639404799</v>
      </c>
      <c r="S6" s="3">
        <v>2.4339951926825898</v>
      </c>
      <c r="T6" s="3">
        <v>3.1214801865988102</v>
      </c>
      <c r="U6" s="3">
        <v>0.98959521747869506</v>
      </c>
      <c r="V6" s="2"/>
      <c r="W6" s="2"/>
      <c r="X6" s="2"/>
      <c r="Y6" s="2"/>
      <c r="Z6" s="2"/>
    </row>
    <row r="7" spans="1:26" x14ac:dyDescent="0.25">
      <c r="A7" t="s">
        <v>4</v>
      </c>
      <c r="B7" s="1">
        <v>4.5775773225284704</v>
      </c>
      <c r="C7" s="1">
        <v>2.5154126484306301</v>
      </c>
      <c r="D7" s="1">
        <v>4.0918969835559498</v>
      </c>
      <c r="E7" s="1">
        <v>10.2447518776846</v>
      </c>
      <c r="F7" s="1">
        <v>0.79890660118759105</v>
      </c>
      <c r="G7" s="1">
        <v>17.4434409638693</v>
      </c>
      <c r="H7" s="1">
        <v>8.8003824436324507</v>
      </c>
      <c r="I7" s="1">
        <v>18.587816726253401</v>
      </c>
      <c r="J7" s="1">
        <v>27.568457597499201</v>
      </c>
      <c r="K7" s="1">
        <v>0.71862490300105397</v>
      </c>
      <c r="L7" s="1">
        <v>15.5616090803326</v>
      </c>
      <c r="M7" s="1">
        <v>5.4621404444078996</v>
      </c>
      <c r="N7" s="1">
        <v>16.165644091576201</v>
      </c>
      <c r="O7" s="1">
        <v>22.331506759752799</v>
      </c>
      <c r="P7" s="1">
        <v>0.74340218007859604</v>
      </c>
      <c r="Q7" s="3">
        <v>20.146422795446</v>
      </c>
      <c r="R7" s="3">
        <v>2.4812027386432001</v>
      </c>
      <c r="S7" s="3">
        <v>19.655361338540001</v>
      </c>
      <c r="T7" s="3">
        <v>24.542548674259098</v>
      </c>
      <c r="U7" s="3">
        <v>0.75776510672999198</v>
      </c>
      <c r="V7" s="2"/>
      <c r="W7" s="2"/>
      <c r="X7" s="2"/>
      <c r="Y7" s="2"/>
      <c r="Z7" s="2"/>
    </row>
    <row r="8" spans="1:26" x14ac:dyDescent="0.25">
      <c r="A8" t="s">
        <v>5</v>
      </c>
      <c r="B8" s="1">
        <v>0.50900771582851201</v>
      </c>
      <c r="C8" s="1">
        <v>0.49337751470014102</v>
      </c>
      <c r="D8" s="1">
        <v>0.32779202230136001</v>
      </c>
      <c r="E8" s="1">
        <v>1.25870518784716</v>
      </c>
      <c r="F8" s="1">
        <v>0.99984459783193003</v>
      </c>
      <c r="G8" s="1">
        <v>2.6122458015866998</v>
      </c>
      <c r="H8" s="1">
        <v>1.35007732451882</v>
      </c>
      <c r="I8" s="1">
        <v>2.5290153348047002</v>
      </c>
      <c r="J8" s="1">
        <v>5.3914233957625397</v>
      </c>
      <c r="K8" s="1">
        <v>0.99842303013932698</v>
      </c>
      <c r="L8" s="1">
        <v>3.1026851952282901</v>
      </c>
      <c r="M8" s="1">
        <v>0.89972472689536698</v>
      </c>
      <c r="N8" s="1">
        <v>3.1870257516359199</v>
      </c>
      <c r="O8" s="1">
        <v>5.0461342170884498</v>
      </c>
      <c r="P8" s="1">
        <v>0.99924920096632697</v>
      </c>
      <c r="Q8" s="3">
        <v>4.2171179473990401</v>
      </c>
      <c r="R8" s="3">
        <v>0.79763657613347505</v>
      </c>
      <c r="S8" s="3">
        <v>4.2817435236651704</v>
      </c>
      <c r="T8" s="3">
        <v>6.0520398555550603</v>
      </c>
      <c r="U8" s="3">
        <v>0.99962700301234897</v>
      </c>
      <c r="V8" s="2"/>
      <c r="W8" s="2"/>
      <c r="X8" s="2"/>
      <c r="Y8" s="2"/>
      <c r="Z8" s="2"/>
    </row>
    <row r="10" spans="1:26" x14ac:dyDescent="0.25">
      <c r="B10" s="4" t="s">
        <v>11</v>
      </c>
      <c r="C10" s="4"/>
      <c r="D10" s="4"/>
      <c r="E10" s="4" t="s">
        <v>12</v>
      </c>
      <c r="F10" s="4"/>
      <c r="G10" s="4"/>
      <c r="H10" s="4" t="s">
        <v>13</v>
      </c>
      <c r="I10" s="4"/>
      <c r="J10" s="4"/>
      <c r="K10" s="5" t="s">
        <v>14</v>
      </c>
      <c r="L10" s="5"/>
      <c r="M10" s="5"/>
      <c r="N10" s="5" t="s">
        <v>17</v>
      </c>
      <c r="O10" s="5"/>
      <c r="P10" s="5"/>
    </row>
    <row r="11" spans="1:26" x14ac:dyDescent="0.25">
      <c r="B11" t="s">
        <v>15</v>
      </c>
      <c r="C11" t="s">
        <v>16</v>
      </c>
      <c r="D11" t="s">
        <v>10</v>
      </c>
      <c r="E11" t="s">
        <v>15</v>
      </c>
      <c r="F11" t="s">
        <v>16</v>
      </c>
      <c r="G11" t="s">
        <v>10</v>
      </c>
      <c r="H11" t="s">
        <v>15</v>
      </c>
      <c r="I11" t="s">
        <v>16</v>
      </c>
      <c r="J11" t="s">
        <v>10</v>
      </c>
      <c r="K11" s="2" t="s">
        <v>15</v>
      </c>
      <c r="L11" s="2" t="s">
        <v>16</v>
      </c>
      <c r="M11" s="2" t="s">
        <v>10</v>
      </c>
      <c r="N11" s="2" t="s">
        <v>15</v>
      </c>
      <c r="O11" s="2" t="s">
        <v>16</v>
      </c>
      <c r="P11" s="2" t="s">
        <v>10</v>
      </c>
    </row>
    <row r="12" spans="1:26" x14ac:dyDescent="0.25">
      <c r="A12" t="s">
        <v>0</v>
      </c>
      <c r="B12" t="str">
        <f>TEXT(B3,"0.00") &amp; " ± " &amp; TEXT(C3,"0.00")</f>
        <v>3.70 ± 1.06</v>
      </c>
      <c r="C12" t="str">
        <f>TEXT(D3,"0.00") &amp; " ▴ " &amp; TEXT(E3,"0.00")</f>
        <v>3.37 ▴ 6.79</v>
      </c>
      <c r="D12" s="1">
        <f>F3</f>
        <v>0.99600004112783203</v>
      </c>
      <c r="E12" t="str">
        <f>TEXT(G3,"0.00") &amp; " ± " &amp; TEXT(H3,"0.00")</f>
        <v>6.71 ± 5.13</v>
      </c>
      <c r="F12" t="str">
        <f>TEXT(I3,"0.00") &amp; " ▴ " &amp; TEXT(J3,"0.00")</f>
        <v>2.66 ▴ 17.08</v>
      </c>
      <c r="G12" s="1">
        <f>K3</f>
        <v>0.98133763413798303</v>
      </c>
      <c r="H12" t="str">
        <f>TEXT(L3,"0.00") &amp; " ± " &amp; TEXT(M3,"0.00")</f>
        <v>5.53 ± 3.92</v>
      </c>
      <c r="I12" t="str">
        <f>TEXT(N3,"0.00") &amp; " ▴ " &amp; TEXT(O3,"0.00")</f>
        <v>2.96 ▴ 13.05</v>
      </c>
      <c r="J12" s="1">
        <f>P3</f>
        <v>0.99055095826475403</v>
      </c>
      <c r="K12" s="2" t="str">
        <f>TEXT(Q3,"0.00") &amp; " ± " &amp; TEXT(R3,"0.00")</f>
        <v>5.73 ± 3.67</v>
      </c>
      <c r="L12" s="2" t="str">
        <f>TEXT(S3,"0.00") &amp; " ▴ " &amp; TEXT(T3,"0.00")</f>
        <v>4.44 ▴ 10.52</v>
      </c>
      <c r="M12" s="3">
        <f>U3</f>
        <v>0.99608838347707696</v>
      </c>
      <c r="N12" s="2" t="str">
        <f>TEXT(V3,"0.00") &amp; " ± " &amp; TEXT(W3,"0.00")</f>
        <v>0.00 ± 0.00</v>
      </c>
      <c r="O12" s="2" t="str">
        <f>TEXT(X3,"0.00") &amp; " ▴ " &amp; TEXT(Y3,"0.00")</f>
        <v>0.00 ▴ 0.00</v>
      </c>
      <c r="P12" s="2">
        <f>Z3</f>
        <v>0</v>
      </c>
    </row>
    <row r="13" spans="1:26" x14ac:dyDescent="0.25">
      <c r="A13" t="s">
        <v>1</v>
      </c>
      <c r="B13" t="str">
        <f t="shared" ref="B13:B17" si="0">TEXT(B4,"0.00") &amp; " ± " &amp; TEXT(C4,"0.00")</f>
        <v>2.30 ± 1.60</v>
      </c>
      <c r="C13" t="str">
        <f t="shared" ref="C13:C17" si="1">TEXT(D4,"0.00") &amp; " ▴ " &amp; TEXT(E4,"0.00")</f>
        <v>1.43 ▴ 4.80</v>
      </c>
      <c r="D13" s="1">
        <f t="shared" ref="D13:D17" si="2">F4</f>
        <v>0.92308484798192603</v>
      </c>
      <c r="E13" t="str">
        <f t="shared" ref="E13:E17" si="3">TEXT(G4,"0.00") &amp; " ± " &amp; TEXT(H4,"0.00")</f>
        <v>7.17 ± 1.77</v>
      </c>
      <c r="F13" t="str">
        <f t="shared" ref="F13:F17" si="4">TEXT(I4,"0.00") &amp; " ▴ " &amp; TEXT(J4,"0.00")</f>
        <v>6.68 ▴ 10.75</v>
      </c>
      <c r="G13" s="1">
        <f t="shared" ref="G13:G17" si="5">K4</f>
        <v>0.626160533408048</v>
      </c>
      <c r="H13" t="str">
        <f t="shared" ref="H13:H17" si="6">TEXT(L4,"0.00") &amp; " ± " &amp; TEXT(M4,"0.00")</f>
        <v>6.76 ± 1.85</v>
      </c>
      <c r="I13" t="str">
        <f t="shared" ref="I13:I17" si="7">TEXT(N4,"0.00") &amp; " ▴ " &amp; TEXT(O4,"0.00")</f>
        <v>6.50 ▴ 11.38</v>
      </c>
      <c r="J13" s="1">
        <f t="shared" ref="J13:J17" si="8">P4</f>
        <v>0.68318914881161197</v>
      </c>
      <c r="K13" s="2" t="str">
        <f t="shared" ref="K13:K17" si="9">TEXT(Q4,"0.00") &amp; " ± " &amp; TEXT(R4,"0.00")</f>
        <v>10.38 ± 1.55</v>
      </c>
      <c r="L13" s="2" t="str">
        <f t="shared" ref="L13:L17" si="10">TEXT(S4,"0.00") &amp; " ▴ " &amp; TEXT(T4,"0.00")</f>
        <v>10.51 ▴ 13.96</v>
      </c>
      <c r="M13" s="3">
        <f t="shared" ref="M13:M17" si="11">U4</f>
        <v>0.93064454297293897</v>
      </c>
      <c r="N13" s="2" t="str">
        <f t="shared" ref="N13:N17" si="12">TEXT(V4,"0.00") &amp; " ± " &amp; TEXT(W4,"0.00")</f>
        <v>0.00 ± 0.00</v>
      </c>
      <c r="O13" s="2" t="str">
        <f t="shared" ref="O13:O17" si="13">TEXT(X4,"0.00") &amp; " ▴ " &amp; TEXT(Y4,"0.00")</f>
        <v>0.00 ▴ 0.00</v>
      </c>
      <c r="P13" s="2">
        <f t="shared" ref="P13:P17" si="14">Z4</f>
        <v>0</v>
      </c>
    </row>
    <row r="14" spans="1:26" x14ac:dyDescent="0.25">
      <c r="A14" t="s">
        <v>2</v>
      </c>
      <c r="B14" t="str">
        <f t="shared" si="0"/>
        <v>1.00 ± 0.97</v>
      </c>
      <c r="C14" t="str">
        <f t="shared" si="1"/>
        <v>0.68 ▴ 2.28</v>
      </c>
      <c r="D14" s="1">
        <f t="shared" si="2"/>
        <v>0.74302324011302501</v>
      </c>
      <c r="E14" t="str">
        <f t="shared" si="3"/>
        <v>2.42 ± 1.18</v>
      </c>
      <c r="F14" t="str">
        <f t="shared" si="4"/>
        <v>2.31 ▴ 4.43</v>
      </c>
      <c r="G14" s="1">
        <f t="shared" si="5"/>
        <v>0.49611207988471301</v>
      </c>
      <c r="H14" t="str">
        <f t="shared" si="6"/>
        <v>3.41 ± 1.43</v>
      </c>
      <c r="I14" t="str">
        <f t="shared" si="7"/>
        <v>3.15 ▴ 6.04</v>
      </c>
      <c r="J14" s="1">
        <f t="shared" si="8"/>
        <v>0.29808218227862499</v>
      </c>
      <c r="K14" s="2" t="str">
        <f t="shared" si="9"/>
        <v>2.92 ± 0.60</v>
      </c>
      <c r="L14" s="2" t="str">
        <f t="shared" si="10"/>
        <v>2.85 ▴ 4.24</v>
      </c>
      <c r="M14" s="3">
        <f t="shared" si="11"/>
        <v>0.91031560434757497</v>
      </c>
      <c r="N14" s="2" t="str">
        <f t="shared" si="12"/>
        <v>0.00 ± 0.00</v>
      </c>
      <c r="O14" s="2" t="str">
        <f t="shared" si="13"/>
        <v>0.00 ▴ 0.00</v>
      </c>
      <c r="P14" s="2">
        <f t="shared" si="14"/>
        <v>0</v>
      </c>
    </row>
    <row r="15" spans="1:26" x14ac:dyDescent="0.25">
      <c r="A15" t="s">
        <v>3</v>
      </c>
      <c r="B15" t="str">
        <f t="shared" si="0"/>
        <v>0.72 ± 0.35</v>
      </c>
      <c r="C15" t="str">
        <f t="shared" si="1"/>
        <v>0.66 ▴ 1.35</v>
      </c>
      <c r="D15" s="1">
        <f t="shared" si="2"/>
        <v>0.97304979668886304</v>
      </c>
      <c r="E15" t="str">
        <f t="shared" si="3"/>
        <v>1.22 ± 0.29</v>
      </c>
      <c r="F15" t="str">
        <f t="shared" si="4"/>
        <v>1.21 ▴ 1.79</v>
      </c>
      <c r="G15" s="1">
        <f t="shared" si="5"/>
        <v>0.99508197809270205</v>
      </c>
      <c r="H15" t="str">
        <f t="shared" si="6"/>
        <v>1.92 ± 0.33</v>
      </c>
      <c r="I15" t="str">
        <f t="shared" si="7"/>
        <v>1.93 ▴ 2.58</v>
      </c>
      <c r="J15" s="1">
        <f t="shared" si="8"/>
        <v>0.99224936689461696</v>
      </c>
      <c r="K15" s="2" t="str">
        <f t="shared" si="9"/>
        <v>2.42 ± 0.28</v>
      </c>
      <c r="L15" s="2" t="str">
        <f t="shared" si="10"/>
        <v>2.43 ▴ 3.12</v>
      </c>
      <c r="M15" s="3">
        <f t="shared" si="11"/>
        <v>0.98959521747869506</v>
      </c>
      <c r="N15" s="2" t="str">
        <f t="shared" si="12"/>
        <v>0.00 ± 0.00</v>
      </c>
      <c r="O15" s="2" t="str">
        <f t="shared" si="13"/>
        <v>0.00 ▴ 0.00</v>
      </c>
      <c r="P15" s="2">
        <f t="shared" si="14"/>
        <v>0</v>
      </c>
    </row>
    <row r="16" spans="1:26" x14ac:dyDescent="0.25">
      <c r="A16" t="s">
        <v>4</v>
      </c>
      <c r="B16" t="str">
        <f t="shared" si="0"/>
        <v>4.58 ± 2.52</v>
      </c>
      <c r="C16" t="str">
        <f t="shared" si="1"/>
        <v>4.09 ▴ 10.24</v>
      </c>
      <c r="D16" s="1">
        <f t="shared" si="2"/>
        <v>0.79890660118759105</v>
      </c>
      <c r="E16" t="str">
        <f t="shared" si="3"/>
        <v>17.44 ± 8.80</v>
      </c>
      <c r="F16" t="str">
        <f t="shared" si="4"/>
        <v>18.59 ▴ 27.57</v>
      </c>
      <c r="G16" s="1">
        <f t="shared" si="5"/>
        <v>0.71862490300105397</v>
      </c>
      <c r="H16" t="str">
        <f t="shared" si="6"/>
        <v>15.56 ± 5.46</v>
      </c>
      <c r="I16" t="str">
        <f t="shared" si="7"/>
        <v>16.17 ▴ 22.33</v>
      </c>
      <c r="J16" s="1">
        <f t="shared" si="8"/>
        <v>0.74340218007859604</v>
      </c>
      <c r="K16" s="2" t="str">
        <f t="shared" si="9"/>
        <v>20.15 ± 2.48</v>
      </c>
      <c r="L16" s="2" t="str">
        <f t="shared" si="10"/>
        <v>19.66 ▴ 24.54</v>
      </c>
      <c r="M16" s="3">
        <f t="shared" si="11"/>
        <v>0.75776510672999198</v>
      </c>
      <c r="N16" s="2" t="str">
        <f t="shared" si="12"/>
        <v>0.00 ± 0.00</v>
      </c>
      <c r="O16" s="2" t="str">
        <f t="shared" si="13"/>
        <v>0.00 ▴ 0.00</v>
      </c>
      <c r="P16" s="2">
        <f t="shared" si="14"/>
        <v>0</v>
      </c>
    </row>
    <row r="17" spans="1:16" x14ac:dyDescent="0.25">
      <c r="A17" t="s">
        <v>5</v>
      </c>
      <c r="B17" t="str">
        <f t="shared" si="0"/>
        <v>0.51 ± 0.49</v>
      </c>
      <c r="C17" t="str">
        <f t="shared" si="1"/>
        <v>0.33 ▴ 1.26</v>
      </c>
      <c r="D17" s="1">
        <f t="shared" si="2"/>
        <v>0.99984459783193003</v>
      </c>
      <c r="E17" t="str">
        <f t="shared" si="3"/>
        <v>2.61 ± 1.35</v>
      </c>
      <c r="F17" t="str">
        <f t="shared" si="4"/>
        <v>2.53 ▴ 5.39</v>
      </c>
      <c r="G17" s="1">
        <f t="shared" si="5"/>
        <v>0.99842303013932698</v>
      </c>
      <c r="H17" t="str">
        <f t="shared" si="6"/>
        <v>3.10 ± 0.90</v>
      </c>
      <c r="I17" t="str">
        <f t="shared" si="7"/>
        <v>3.19 ▴ 5.05</v>
      </c>
      <c r="J17" s="1">
        <f t="shared" si="8"/>
        <v>0.99924920096632697</v>
      </c>
      <c r="K17" s="2" t="str">
        <f t="shared" si="9"/>
        <v>4.22 ± 0.80</v>
      </c>
      <c r="L17" s="2" t="str">
        <f t="shared" si="10"/>
        <v>4.28 ▴ 6.05</v>
      </c>
      <c r="M17" s="3">
        <f t="shared" si="11"/>
        <v>0.99962700301234897</v>
      </c>
      <c r="N17" s="2" t="str">
        <f t="shared" si="12"/>
        <v>0.00 ± 0.00</v>
      </c>
      <c r="O17" s="2" t="str">
        <f t="shared" si="13"/>
        <v>0.00 ▴ 0.00</v>
      </c>
      <c r="P17" s="2">
        <f t="shared" si="14"/>
        <v>0</v>
      </c>
    </row>
    <row r="18" spans="1:16" x14ac:dyDescent="0.25">
      <c r="D18" s="1"/>
      <c r="G18" s="1"/>
      <c r="J18" s="1"/>
      <c r="K18" s="2"/>
      <c r="L18" s="2"/>
      <c r="M18" s="3"/>
      <c r="N18" s="2"/>
      <c r="O18" s="2"/>
      <c r="P18" s="2"/>
    </row>
    <row r="19" spans="1:16" x14ac:dyDescent="0.25">
      <c r="A19" s="15"/>
      <c r="B19" s="9" t="s">
        <v>22</v>
      </c>
      <c r="C19" s="7"/>
      <c r="D19" s="10"/>
      <c r="E19" s="9" t="s">
        <v>23</v>
      </c>
      <c r="F19" s="7"/>
      <c r="G19" s="10"/>
      <c r="H19" s="9" t="s">
        <v>24</v>
      </c>
      <c r="I19" s="7"/>
      <c r="J19" s="10"/>
      <c r="K19" s="2"/>
      <c r="L19" s="2"/>
      <c r="M19" s="3"/>
      <c r="N19" s="2"/>
      <c r="O19" s="2"/>
      <c r="P19" s="2"/>
    </row>
    <row r="20" spans="1:16" x14ac:dyDescent="0.25">
      <c r="A20" s="15"/>
      <c r="B20" s="11" t="s">
        <v>11</v>
      </c>
      <c r="C20" s="6" t="s">
        <v>12</v>
      </c>
      <c r="D20" s="12" t="s">
        <v>13</v>
      </c>
      <c r="E20" s="11" t="s">
        <v>11</v>
      </c>
      <c r="F20" s="6" t="s">
        <v>12</v>
      </c>
      <c r="G20" s="12" t="s">
        <v>13</v>
      </c>
      <c r="H20" s="11" t="s">
        <v>11</v>
      </c>
      <c r="I20" s="6" t="s">
        <v>12</v>
      </c>
      <c r="J20" s="12" t="s">
        <v>13</v>
      </c>
      <c r="K20" s="2"/>
      <c r="L20" s="2"/>
      <c r="M20" s="3"/>
      <c r="N20" s="2"/>
      <c r="O20" s="2"/>
      <c r="P20" s="2"/>
    </row>
    <row r="21" spans="1:16" x14ac:dyDescent="0.25">
      <c r="A21" s="15" t="s">
        <v>0</v>
      </c>
      <c r="B21" s="13">
        <f>B3</f>
        <v>3.69514731172226</v>
      </c>
      <c r="C21" s="8">
        <f>G3</f>
        <v>6.70967570784362</v>
      </c>
      <c r="D21" s="14">
        <f>L3</f>
        <v>5.5308895664222497</v>
      </c>
      <c r="E21" s="13">
        <f>D3</f>
        <v>3.3686852316004501</v>
      </c>
      <c r="F21" s="8">
        <f>I3</f>
        <v>2.6610672031828502</v>
      </c>
      <c r="G21" s="14">
        <f>N3</f>
        <v>2.95538725349817</v>
      </c>
      <c r="H21" s="13">
        <f>F3</f>
        <v>0.99600004112783203</v>
      </c>
      <c r="I21" s="8">
        <f>K3</f>
        <v>0.98133763413798303</v>
      </c>
      <c r="J21" s="14">
        <f>P3</f>
        <v>0.99055095826475403</v>
      </c>
      <c r="K21" s="2"/>
      <c r="L21" s="2"/>
      <c r="M21" s="3"/>
      <c r="N21" s="2"/>
      <c r="O21" s="2"/>
      <c r="P21" s="2"/>
    </row>
    <row r="22" spans="1:16" x14ac:dyDescent="0.25">
      <c r="A22" s="15" t="s">
        <v>1</v>
      </c>
      <c r="B22" s="13">
        <f t="shared" ref="B22:B26" si="15">B4</f>
        <v>2.2970250944358401</v>
      </c>
      <c r="C22" s="8">
        <f t="shared" ref="C22:C26" si="16">G4</f>
        <v>7.1672808940967396</v>
      </c>
      <c r="D22" s="14">
        <f t="shared" ref="D22:D26" si="17">L4</f>
        <v>6.7613878415646802</v>
      </c>
      <c r="E22" s="13">
        <f t="shared" ref="E22:E26" si="18">D4</f>
        <v>1.4261592430915999</v>
      </c>
      <c r="F22" s="8">
        <f t="shared" ref="F22:F26" si="19">I4</f>
        <v>6.6804859675955601</v>
      </c>
      <c r="G22" s="14">
        <f t="shared" ref="G22:G26" si="20">N4</f>
        <v>6.4965713099578997</v>
      </c>
      <c r="H22" s="13">
        <f t="shared" ref="H22:H26" si="21">F4</f>
        <v>0.92308484798192603</v>
      </c>
      <c r="I22" s="8">
        <f t="shared" ref="I22:I26" si="22">K4</f>
        <v>0.626160533408048</v>
      </c>
      <c r="J22" s="14">
        <f t="shared" ref="J22:J26" si="23">P4</f>
        <v>0.68318914881161197</v>
      </c>
      <c r="K22" s="2"/>
      <c r="L22" s="2"/>
      <c r="M22" s="3"/>
      <c r="N22" s="2"/>
      <c r="O22" s="2"/>
      <c r="P22" s="2"/>
    </row>
    <row r="23" spans="1:16" x14ac:dyDescent="0.25">
      <c r="A23" s="15" t="s">
        <v>2</v>
      </c>
      <c r="B23" s="13">
        <f t="shared" si="15"/>
        <v>0.99948141482634101</v>
      </c>
      <c r="C23" s="8">
        <f t="shared" si="16"/>
        <v>2.4235663623461101</v>
      </c>
      <c r="D23" s="14">
        <f t="shared" si="17"/>
        <v>3.4127441136584702</v>
      </c>
      <c r="E23" s="13">
        <f t="shared" si="18"/>
        <v>0.67899885034825203</v>
      </c>
      <c r="F23" s="8">
        <f t="shared" si="19"/>
        <v>2.3070522111021798</v>
      </c>
      <c r="G23" s="14">
        <f t="shared" si="20"/>
        <v>3.1472185029143498</v>
      </c>
      <c r="H23" s="13">
        <f t="shared" si="21"/>
        <v>0.74302324011302501</v>
      </c>
      <c r="I23" s="8">
        <f t="shared" si="22"/>
        <v>0.49611207988471301</v>
      </c>
      <c r="J23" s="14">
        <f t="shared" si="23"/>
        <v>0.29808218227862499</v>
      </c>
      <c r="K23" s="2"/>
      <c r="L23" s="2"/>
      <c r="M23" s="3"/>
      <c r="N23" s="2"/>
      <c r="O23" s="2"/>
      <c r="P23" s="2"/>
    </row>
    <row r="24" spans="1:16" x14ac:dyDescent="0.25">
      <c r="A24" s="15" t="s">
        <v>3</v>
      </c>
      <c r="B24" s="13">
        <f t="shared" si="15"/>
        <v>0.717275929128246</v>
      </c>
      <c r="C24" s="8">
        <f t="shared" si="16"/>
        <v>1.2160825814348699</v>
      </c>
      <c r="D24" s="14">
        <f t="shared" si="17"/>
        <v>1.9229685932921201</v>
      </c>
      <c r="E24" s="13">
        <f t="shared" si="18"/>
        <v>0.65739546433538998</v>
      </c>
      <c r="F24" s="8">
        <f t="shared" si="19"/>
        <v>1.2096420132655501</v>
      </c>
      <c r="G24" s="14">
        <f t="shared" si="20"/>
        <v>1.9293844477486199</v>
      </c>
      <c r="H24" s="13">
        <f t="shared" si="21"/>
        <v>0.97304979668886304</v>
      </c>
      <c r="I24" s="8">
        <f t="shared" si="22"/>
        <v>0.99508197809270205</v>
      </c>
      <c r="J24" s="14">
        <f t="shared" si="23"/>
        <v>0.99224936689461696</v>
      </c>
      <c r="K24" s="2"/>
      <c r="L24" s="2"/>
      <c r="M24" s="3"/>
      <c r="N24" s="2"/>
      <c r="O24" s="2"/>
      <c r="P24" s="2"/>
    </row>
    <row r="25" spans="1:16" x14ac:dyDescent="0.25">
      <c r="A25" s="15" t="s">
        <v>4</v>
      </c>
      <c r="B25" s="13">
        <f t="shared" si="15"/>
        <v>4.5775773225284704</v>
      </c>
      <c r="C25" s="8">
        <f t="shared" si="16"/>
        <v>17.4434409638693</v>
      </c>
      <c r="D25" s="14">
        <f t="shared" si="17"/>
        <v>15.5616090803326</v>
      </c>
      <c r="E25" s="13">
        <f t="shared" si="18"/>
        <v>4.0918969835559498</v>
      </c>
      <c r="F25" s="8">
        <f t="shared" si="19"/>
        <v>18.587816726253401</v>
      </c>
      <c r="G25" s="14">
        <f t="shared" si="20"/>
        <v>16.165644091576201</v>
      </c>
      <c r="H25" s="13">
        <f t="shared" si="21"/>
        <v>0.79890660118759105</v>
      </c>
      <c r="I25" s="8">
        <f t="shared" si="22"/>
        <v>0.71862490300105397</v>
      </c>
      <c r="J25" s="14">
        <f t="shared" si="23"/>
        <v>0.74340218007859604</v>
      </c>
      <c r="K25" s="2"/>
      <c r="L25" s="2"/>
      <c r="M25" s="3"/>
      <c r="N25" s="2"/>
      <c r="O25" s="2"/>
      <c r="P25" s="2"/>
    </row>
    <row r="26" spans="1:16" x14ac:dyDescent="0.25">
      <c r="A26" s="15" t="s">
        <v>5</v>
      </c>
      <c r="B26" s="13">
        <f t="shared" si="15"/>
        <v>0.50900771582851201</v>
      </c>
      <c r="C26" s="8">
        <f t="shared" si="16"/>
        <v>2.6122458015866998</v>
      </c>
      <c r="D26" s="14">
        <f t="shared" si="17"/>
        <v>3.1026851952282901</v>
      </c>
      <c r="E26" s="13">
        <f t="shared" si="18"/>
        <v>0.32779202230136001</v>
      </c>
      <c r="F26" s="8">
        <f t="shared" si="19"/>
        <v>2.5290153348047002</v>
      </c>
      <c r="G26" s="14">
        <f t="shared" si="20"/>
        <v>3.1870257516359199</v>
      </c>
      <c r="H26" s="13">
        <f t="shared" si="21"/>
        <v>0.99984459783193003</v>
      </c>
      <c r="I26" s="8">
        <f t="shared" si="22"/>
        <v>0.99842303013932698</v>
      </c>
      <c r="J26" s="14">
        <f t="shared" si="23"/>
        <v>0.99924920096632697</v>
      </c>
      <c r="K26" s="2"/>
      <c r="L26" s="2"/>
      <c r="M26" s="3"/>
      <c r="N26" s="2"/>
      <c r="O26" s="2"/>
      <c r="P26" s="2"/>
    </row>
    <row r="28" spans="1:16" x14ac:dyDescent="0.25">
      <c r="A28" s="15"/>
      <c r="B28" s="16" t="s">
        <v>22</v>
      </c>
      <c r="C28" s="17"/>
      <c r="D28" s="18"/>
      <c r="E28" s="16" t="s">
        <v>23</v>
      </c>
      <c r="F28" s="17"/>
      <c r="G28" s="18"/>
      <c r="H28" s="16" t="s">
        <v>24</v>
      </c>
      <c r="I28" s="17"/>
      <c r="J28" s="18"/>
      <c r="L28" t="s">
        <v>25</v>
      </c>
    </row>
    <row r="29" spans="1:16" x14ac:dyDescent="0.25">
      <c r="A29" s="15"/>
      <c r="B29" s="11" t="s">
        <v>11</v>
      </c>
      <c r="C29" s="6" t="s">
        <v>12</v>
      </c>
      <c r="D29" s="12" t="s">
        <v>13</v>
      </c>
      <c r="E29" s="11" t="s">
        <v>11</v>
      </c>
      <c r="F29" s="6" t="s">
        <v>12</v>
      </c>
      <c r="G29" s="12" t="s">
        <v>13</v>
      </c>
      <c r="H29" s="11" t="s">
        <v>11</v>
      </c>
      <c r="I29" s="6" t="s">
        <v>12</v>
      </c>
      <c r="J29" s="12" t="s">
        <v>13</v>
      </c>
    </row>
    <row r="30" spans="1:16" x14ac:dyDescent="0.25">
      <c r="A30" s="15" t="s">
        <v>0</v>
      </c>
      <c r="B30" s="19" t="str">
        <f>B12</f>
        <v>3.70 ± 1.06</v>
      </c>
      <c r="C30" s="8" t="str">
        <f>E12</f>
        <v>6.71 ± 5.13</v>
      </c>
      <c r="D30" s="14" t="str">
        <f>H12</f>
        <v>5.53 ± 3.92</v>
      </c>
      <c r="E30" s="27" t="str">
        <f>C12</f>
        <v>3.37 ▴ 6.79</v>
      </c>
      <c r="F30" s="28" t="str">
        <f>F12</f>
        <v>2.66 ▴ 17.08</v>
      </c>
      <c r="G30" s="12" t="str">
        <f>I12</f>
        <v>2.96 ▴ 13.05</v>
      </c>
      <c r="H30" s="19">
        <f>D12</f>
        <v>0.99600004112783203</v>
      </c>
      <c r="I30" s="8">
        <f>G12</f>
        <v>0.98133763413798303</v>
      </c>
      <c r="J30" s="14">
        <f>J12</f>
        <v>0.99055095826475403</v>
      </c>
    </row>
    <row r="31" spans="1:16" x14ac:dyDescent="0.25">
      <c r="A31" s="15" t="s">
        <v>1</v>
      </c>
      <c r="B31" s="19" t="str">
        <f t="shared" ref="B31:B35" si="24">B13</f>
        <v>2.30 ± 1.60</v>
      </c>
      <c r="C31" s="8" t="str">
        <f t="shared" ref="C31:C35" si="25">E13</f>
        <v>7.17 ± 1.77</v>
      </c>
      <c r="D31" s="14" t="str">
        <f t="shared" ref="D31:D35" si="26">H13</f>
        <v>6.76 ± 1.85</v>
      </c>
      <c r="E31" s="21" t="str">
        <f t="shared" ref="E31:E35" si="27">C13</f>
        <v>1.43 ▴ 4.80</v>
      </c>
      <c r="F31" s="6" t="str">
        <f t="shared" ref="F31:F35" si="28">F13</f>
        <v>6.68 ▴ 10.75</v>
      </c>
      <c r="G31" s="12" t="str">
        <f t="shared" ref="G31:G35" si="29">I13</f>
        <v>6.50 ▴ 11.38</v>
      </c>
      <c r="H31" s="19">
        <f t="shared" ref="H31:H35" si="30">D13</f>
        <v>0.92308484798192603</v>
      </c>
      <c r="I31" s="8">
        <f t="shared" ref="I31:I35" si="31">G13</f>
        <v>0.626160533408048</v>
      </c>
      <c r="J31" s="14">
        <f t="shared" ref="J31:J35" si="32">J13</f>
        <v>0.68318914881161197</v>
      </c>
    </row>
    <row r="32" spans="1:16" x14ac:dyDescent="0.25">
      <c r="A32" s="15" t="s">
        <v>2</v>
      </c>
      <c r="B32" s="19" t="str">
        <f t="shared" si="24"/>
        <v>1.00 ± 0.97</v>
      </c>
      <c r="C32" s="8" t="str">
        <f t="shared" si="25"/>
        <v>2.42 ± 1.18</v>
      </c>
      <c r="D32" s="14" t="str">
        <f t="shared" si="26"/>
        <v>3.41 ± 1.43</v>
      </c>
      <c r="E32" s="21" t="str">
        <f t="shared" si="27"/>
        <v>0.68 ▴ 2.28</v>
      </c>
      <c r="F32" s="6" t="str">
        <f t="shared" si="28"/>
        <v>2.31 ▴ 4.43</v>
      </c>
      <c r="G32" s="12" t="str">
        <f t="shared" si="29"/>
        <v>3.15 ▴ 6.04</v>
      </c>
      <c r="H32" s="19">
        <f t="shared" si="30"/>
        <v>0.74302324011302501</v>
      </c>
      <c r="I32" s="8">
        <f t="shared" si="31"/>
        <v>0.49611207988471301</v>
      </c>
      <c r="J32" s="14">
        <f t="shared" si="32"/>
        <v>0.29808218227862499</v>
      </c>
    </row>
    <row r="33" spans="1:10" x14ac:dyDescent="0.25">
      <c r="A33" s="15" t="s">
        <v>3</v>
      </c>
      <c r="B33" s="19" t="str">
        <f t="shared" si="24"/>
        <v>0.72 ± 0.35</v>
      </c>
      <c r="C33" s="8" t="str">
        <f t="shared" si="25"/>
        <v>1.22 ± 0.29</v>
      </c>
      <c r="D33" s="14" t="str">
        <f t="shared" si="26"/>
        <v>1.92 ± 0.33</v>
      </c>
      <c r="E33" s="21" t="str">
        <f t="shared" si="27"/>
        <v>0.66 ▴ 1.35</v>
      </c>
      <c r="F33" s="6" t="str">
        <f t="shared" si="28"/>
        <v>1.21 ▴ 1.79</v>
      </c>
      <c r="G33" s="12" t="str">
        <f t="shared" si="29"/>
        <v>1.93 ▴ 2.58</v>
      </c>
      <c r="H33" s="13">
        <f t="shared" si="30"/>
        <v>0.97304979668886304</v>
      </c>
      <c r="I33" s="22">
        <f t="shared" si="31"/>
        <v>0.99508197809270205</v>
      </c>
      <c r="J33" s="14">
        <f t="shared" si="32"/>
        <v>0.99224936689461696</v>
      </c>
    </row>
    <row r="34" spans="1:10" x14ac:dyDescent="0.25">
      <c r="A34" s="15" t="s">
        <v>4</v>
      </c>
      <c r="B34" s="19" t="str">
        <f t="shared" si="24"/>
        <v>4.58 ± 2.52</v>
      </c>
      <c r="C34" s="8" t="str">
        <f t="shared" si="25"/>
        <v>17.44 ± 8.80</v>
      </c>
      <c r="D34" s="14" t="str">
        <f t="shared" si="26"/>
        <v>15.56 ± 5.46</v>
      </c>
      <c r="E34" s="21" t="str">
        <f t="shared" si="27"/>
        <v>4.09 ▴ 10.24</v>
      </c>
      <c r="F34" s="6" t="str">
        <f t="shared" si="28"/>
        <v>18.59 ▴ 27.57</v>
      </c>
      <c r="G34" s="12" t="str">
        <f t="shared" si="29"/>
        <v>16.17 ▴ 22.33</v>
      </c>
      <c r="H34" s="19">
        <f t="shared" si="30"/>
        <v>0.79890660118759105</v>
      </c>
      <c r="I34" s="8">
        <f t="shared" si="31"/>
        <v>0.71862490300105397</v>
      </c>
      <c r="J34" s="14">
        <f t="shared" si="32"/>
        <v>0.74340218007859604</v>
      </c>
    </row>
    <row r="35" spans="1:10" x14ac:dyDescent="0.25">
      <c r="A35" s="15" t="s">
        <v>5</v>
      </c>
      <c r="B35" s="19" t="str">
        <f t="shared" si="24"/>
        <v>0.51 ± 0.49</v>
      </c>
      <c r="C35" s="8" t="str">
        <f t="shared" si="25"/>
        <v>2.61 ± 1.35</v>
      </c>
      <c r="D35" s="14" t="str">
        <f t="shared" si="26"/>
        <v>3.10 ± 0.90</v>
      </c>
      <c r="E35" s="21" t="str">
        <f t="shared" si="27"/>
        <v>0.33 ▴ 1.26</v>
      </c>
      <c r="F35" s="6" t="str">
        <f t="shared" si="28"/>
        <v>2.53 ▴ 5.39</v>
      </c>
      <c r="G35" s="12" t="str">
        <f t="shared" si="29"/>
        <v>3.19 ▴ 5.05</v>
      </c>
      <c r="H35" s="19">
        <f t="shared" si="30"/>
        <v>0.99984459783193003</v>
      </c>
      <c r="I35" s="8">
        <f t="shared" si="31"/>
        <v>0.99842303013932698</v>
      </c>
      <c r="J35" s="14">
        <f t="shared" si="32"/>
        <v>0.99924920096632697</v>
      </c>
    </row>
  </sheetData>
  <mergeCells count="16">
    <mergeCell ref="B28:D28"/>
    <mergeCell ref="E28:G28"/>
    <mergeCell ref="H28:J28"/>
    <mergeCell ref="B19:D19"/>
    <mergeCell ref="E19:G19"/>
    <mergeCell ref="H19:J19"/>
    <mergeCell ref="B10:D10"/>
    <mergeCell ref="E10:G10"/>
    <mergeCell ref="H10:J10"/>
    <mergeCell ref="K10:M10"/>
    <mergeCell ref="N10:P10"/>
    <mergeCell ref="B1:F1"/>
    <mergeCell ref="G1:K1"/>
    <mergeCell ref="L1:P1"/>
    <mergeCell ref="Q1:U1"/>
    <mergeCell ref="V1:Z1"/>
  </mergeCells>
  <conditionalFormatting sqref="B21:D26">
    <cfRule type="expression" dxfId="82" priority="4">
      <formula>B21=MIN($B21:$D21)</formula>
    </cfRule>
  </conditionalFormatting>
  <conditionalFormatting sqref="E21:G26">
    <cfRule type="expression" dxfId="81" priority="3">
      <formula>E21=MIN($E21:$G21)</formula>
    </cfRule>
  </conditionalFormatting>
  <conditionalFormatting sqref="H21:J26">
    <cfRule type="expression" dxfId="80" priority="2">
      <formula>H21=MAX($H21:$J21)</formula>
    </cfRule>
  </conditionalFormatting>
  <conditionalFormatting sqref="B30:D35">
    <cfRule type="expression" dxfId="79" priority="1">
      <formula>B30=MIN($B30:$D30)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8A393-978F-4FA0-B4E4-1745B9B71045}">
  <dimension ref="A1:P37"/>
  <sheetViews>
    <sheetView zoomScale="130" zoomScaleNormal="130" workbookViewId="0">
      <selection activeCell="G40" sqref="G40"/>
    </sheetView>
  </sheetViews>
  <sheetFormatPr defaultRowHeight="15" x14ac:dyDescent="0.25"/>
  <cols>
    <col min="1" max="16" width="12.7109375" customWidth="1"/>
  </cols>
  <sheetData>
    <row r="1" spans="1:16" x14ac:dyDescent="0.25">
      <c r="A1" t="s">
        <v>18</v>
      </c>
    </row>
    <row r="2" spans="1:16" x14ac:dyDescent="0.25">
      <c r="B2" s="4" t="s">
        <v>11</v>
      </c>
      <c r="C2" s="4"/>
      <c r="D2" s="4"/>
      <c r="E2" s="4"/>
      <c r="F2" s="4"/>
      <c r="G2" s="4" t="s">
        <v>12</v>
      </c>
      <c r="H2" s="4"/>
      <c r="I2" s="4"/>
      <c r="J2" s="4"/>
      <c r="K2" s="4"/>
      <c r="L2" s="4" t="s">
        <v>13</v>
      </c>
      <c r="M2" s="4"/>
      <c r="N2" s="4"/>
      <c r="O2" s="4"/>
      <c r="P2" s="4"/>
    </row>
    <row r="3" spans="1:16" x14ac:dyDescent="0.25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6</v>
      </c>
      <c r="M3" t="s">
        <v>7</v>
      </c>
      <c r="N3" t="s">
        <v>8</v>
      </c>
      <c r="O3" t="s">
        <v>9</v>
      </c>
      <c r="P3" t="s">
        <v>10</v>
      </c>
    </row>
    <row r="4" spans="1:16" x14ac:dyDescent="0.25">
      <c r="A4" t="s">
        <v>0</v>
      </c>
      <c r="B4" s="1">
        <v>3.2088155058469998</v>
      </c>
      <c r="C4" s="1">
        <v>0.90529660241363796</v>
      </c>
      <c r="D4" s="1">
        <v>2.8659124777296099</v>
      </c>
      <c r="E4" s="1">
        <v>5.2706748106636203</v>
      </c>
      <c r="F4" s="1">
        <v>0.99680921885733897</v>
      </c>
      <c r="G4" s="1">
        <v>6.6462024780647697</v>
      </c>
      <c r="H4" s="1">
        <v>5.2378216276296996</v>
      </c>
      <c r="I4" s="1">
        <v>1.6683475175240501</v>
      </c>
      <c r="J4" s="1">
        <v>17.0749329941493</v>
      </c>
      <c r="K4" s="1">
        <v>0.98086114647670797</v>
      </c>
      <c r="L4" s="1">
        <v>5.2945786256808702</v>
      </c>
      <c r="M4" s="1">
        <v>3.8542627317411999</v>
      </c>
      <c r="N4" s="1">
        <v>2.38679906495855</v>
      </c>
      <c r="O4" s="1">
        <v>13.0507510647928</v>
      </c>
      <c r="P4" s="1">
        <v>0.99058368351751802</v>
      </c>
    </row>
    <row r="5" spans="1:16" x14ac:dyDescent="0.25">
      <c r="A5" t="s">
        <v>1</v>
      </c>
      <c r="B5" s="1">
        <v>1.8272305635616399</v>
      </c>
      <c r="C5" s="1">
        <v>1.25893215873973</v>
      </c>
      <c r="D5" s="1">
        <v>1.3433967767398101</v>
      </c>
      <c r="E5" s="1">
        <v>4.0608357273799101</v>
      </c>
      <c r="F5" s="1">
        <v>0.96261023466837603</v>
      </c>
      <c r="G5" s="1">
        <v>7.0639384798379998</v>
      </c>
      <c r="H5" s="1">
        <v>1.3579066441995999</v>
      </c>
      <c r="I5" s="1">
        <v>6.7091501687396597</v>
      </c>
      <c r="J5" s="1">
        <v>10.0370986420655</v>
      </c>
      <c r="K5" s="1">
        <v>0.76602673956504697</v>
      </c>
      <c r="L5" s="1">
        <v>6.1217279888108704</v>
      </c>
      <c r="M5" s="1">
        <v>1.69731023486671</v>
      </c>
      <c r="N5" s="1">
        <v>6.0693888007527299</v>
      </c>
      <c r="O5" s="1">
        <v>10.1472963451677</v>
      </c>
      <c r="P5" s="1">
        <v>0.65949362038926895</v>
      </c>
    </row>
    <row r="6" spans="1:16" x14ac:dyDescent="0.25">
      <c r="A6" t="s">
        <v>2</v>
      </c>
      <c r="B6" s="1">
        <v>1.2815784691674601</v>
      </c>
      <c r="C6" s="1">
        <v>0.87617516655722605</v>
      </c>
      <c r="D6" s="1">
        <v>1.00507089517066</v>
      </c>
      <c r="E6" s="1">
        <v>3.1103786887887299</v>
      </c>
      <c r="F6" s="1">
        <v>0.79290340713504104</v>
      </c>
      <c r="G6" s="1">
        <v>2.44907060232415</v>
      </c>
      <c r="H6" s="1">
        <v>1.1115776418947501</v>
      </c>
      <c r="I6" s="1">
        <v>2.2640863509146101</v>
      </c>
      <c r="J6" s="1">
        <v>4.42926796272884</v>
      </c>
      <c r="K6" s="1">
        <v>0.58962686770992201</v>
      </c>
      <c r="L6" s="1">
        <v>3.85652302359202</v>
      </c>
      <c r="M6" s="1">
        <v>1.36118602993809</v>
      </c>
      <c r="N6" s="1">
        <v>3.4661718529955499</v>
      </c>
      <c r="O6" s="1">
        <v>6.0442309456168202</v>
      </c>
      <c r="P6" s="1">
        <v>0.34526311216319899</v>
      </c>
    </row>
    <row r="7" spans="1:16" x14ac:dyDescent="0.25">
      <c r="A7" t="s">
        <v>3</v>
      </c>
      <c r="B7" s="1">
        <v>0.41377717832845101</v>
      </c>
      <c r="C7" s="1">
        <v>0.267267551333637</v>
      </c>
      <c r="D7" s="1">
        <v>0.27054172691310202</v>
      </c>
      <c r="E7" s="1">
        <v>0.93157788879358705</v>
      </c>
      <c r="F7" s="1">
        <v>0.98544327609678595</v>
      </c>
      <c r="G7" s="1">
        <v>1.2215939217885099</v>
      </c>
      <c r="H7" s="1">
        <v>0.27587310775197299</v>
      </c>
      <c r="I7" s="1">
        <v>1.19193064784142</v>
      </c>
      <c r="J7" s="1">
        <v>1.78201623193379</v>
      </c>
      <c r="K7" s="1">
        <v>0.99521778584083997</v>
      </c>
      <c r="L7" s="1">
        <v>1.9989106633526399</v>
      </c>
      <c r="M7" s="1">
        <v>0.33147856421712601</v>
      </c>
      <c r="N7" s="1">
        <v>1.9932274136964001</v>
      </c>
      <c r="O7" s="1">
        <v>2.5661573306308099</v>
      </c>
      <c r="P7" s="1">
        <v>0.99415519867406199</v>
      </c>
    </row>
    <row r="8" spans="1:16" x14ac:dyDescent="0.25">
      <c r="A8" t="s">
        <v>4</v>
      </c>
      <c r="B8" s="1">
        <v>5.4646244811304303</v>
      </c>
      <c r="C8" s="1">
        <v>2.3021158623560001</v>
      </c>
      <c r="D8" s="1">
        <v>5.4496091502550996</v>
      </c>
      <c r="E8" s="1">
        <v>8.58528110806974</v>
      </c>
      <c r="F8" s="1">
        <v>0.79221439907574598</v>
      </c>
      <c r="G8" s="1">
        <v>17.547896274193899</v>
      </c>
      <c r="H8" s="1">
        <v>7.8577510150748298</v>
      </c>
      <c r="I8" s="1">
        <v>18.501208104486899</v>
      </c>
      <c r="J8" s="1">
        <v>24.5171155394724</v>
      </c>
      <c r="K8" s="1">
        <v>0.74641742917993303</v>
      </c>
      <c r="L8" s="1">
        <v>15.8315786186881</v>
      </c>
      <c r="M8" s="1">
        <v>4.4231484151388498</v>
      </c>
      <c r="N8" s="1">
        <v>15.838516178412601</v>
      </c>
      <c r="O8" s="1">
        <v>22.334107140532002</v>
      </c>
      <c r="P8" s="1">
        <v>0.805825170730467</v>
      </c>
    </row>
    <row r="9" spans="1:16" x14ac:dyDescent="0.25">
      <c r="A9" t="s">
        <v>5</v>
      </c>
      <c r="B9" s="1">
        <v>0.45960260884256998</v>
      </c>
      <c r="C9" s="1">
        <v>0.45994201118093297</v>
      </c>
      <c r="D9" s="1">
        <v>0.26300445032012498</v>
      </c>
      <c r="E9" s="1">
        <v>0.95594190570683302</v>
      </c>
      <c r="F9" s="1">
        <v>0.99983348751415602</v>
      </c>
      <c r="G9" s="1">
        <v>2.6670859091564001</v>
      </c>
      <c r="H9" s="1">
        <v>1.2202275532211599</v>
      </c>
      <c r="I9" s="1">
        <v>2.6760234679403698</v>
      </c>
      <c r="J9" s="1">
        <v>4.3391010198850699</v>
      </c>
      <c r="K9" s="1">
        <v>0.99870261961815898</v>
      </c>
      <c r="L9" s="1">
        <v>3.1487293164673198</v>
      </c>
      <c r="M9" s="1">
        <v>0.65570963954757999</v>
      </c>
      <c r="N9" s="1">
        <v>3.2232238735838701</v>
      </c>
      <c r="O9" s="1">
        <v>4.3115385023185802</v>
      </c>
      <c r="P9" s="1">
        <v>0.99960074687772005</v>
      </c>
    </row>
    <row r="11" spans="1:16" x14ac:dyDescent="0.25">
      <c r="A11" t="s">
        <v>19</v>
      </c>
    </row>
    <row r="12" spans="1:16" x14ac:dyDescent="0.25">
      <c r="B12" s="4" t="s">
        <v>11</v>
      </c>
      <c r="C12" s="4"/>
      <c r="D12" s="4"/>
      <c r="E12" s="4"/>
      <c r="F12" s="4"/>
      <c r="G12" s="4" t="s">
        <v>12</v>
      </c>
      <c r="H12" s="4"/>
      <c r="I12" s="4"/>
      <c r="J12" s="4"/>
      <c r="K12" s="4"/>
      <c r="L12" s="4" t="s">
        <v>13</v>
      </c>
      <c r="M12" s="4"/>
      <c r="N12" s="4"/>
      <c r="O12" s="4"/>
      <c r="P12" s="4"/>
    </row>
    <row r="13" spans="1:16" x14ac:dyDescent="0.25">
      <c r="B13" t="s">
        <v>6</v>
      </c>
      <c r="C13" t="s">
        <v>7</v>
      </c>
      <c r="D13" t="s">
        <v>8</v>
      </c>
      <c r="E13" t="s">
        <v>9</v>
      </c>
      <c r="F13" t="s">
        <v>10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6</v>
      </c>
      <c r="M13" t="s">
        <v>7</v>
      </c>
      <c r="N13" t="s">
        <v>8</v>
      </c>
      <c r="O13" t="s">
        <v>9</v>
      </c>
      <c r="P13" t="s">
        <v>10</v>
      </c>
    </row>
    <row r="14" spans="1:16" x14ac:dyDescent="0.25">
      <c r="A14" t="s">
        <v>0</v>
      </c>
      <c r="B14" s="1">
        <v>4.0902829598471699</v>
      </c>
      <c r="C14" s="1">
        <v>1.1297054488223399</v>
      </c>
      <c r="D14" s="1">
        <v>3.8666718884856102</v>
      </c>
      <c r="E14" s="1">
        <v>6.8067936991936104</v>
      </c>
      <c r="F14" s="1">
        <v>0.99700070375445105</v>
      </c>
      <c r="G14" s="1">
        <v>6.0695704024536701</v>
      </c>
      <c r="H14" s="1">
        <v>4.6112155370114998</v>
      </c>
      <c r="I14" s="1">
        <v>2.8551944244440999</v>
      </c>
      <c r="J14" s="1">
        <v>14.5332331956647</v>
      </c>
      <c r="K14" s="1">
        <v>0.98744631800372795</v>
      </c>
      <c r="L14" s="1">
        <v>6.0778871222411297</v>
      </c>
      <c r="M14" s="1">
        <v>4.2192932049627601</v>
      </c>
      <c r="N14" s="1">
        <v>3.6630578537298102</v>
      </c>
      <c r="O14" s="1">
        <v>11.915983660386299</v>
      </c>
      <c r="P14" s="1">
        <v>0.99099629026732206</v>
      </c>
    </row>
    <row r="15" spans="1:16" x14ac:dyDescent="0.25">
      <c r="A15" t="s">
        <v>1</v>
      </c>
      <c r="B15" s="1">
        <v>2.26330540363143</v>
      </c>
      <c r="C15" s="1">
        <v>1.2985034261556201</v>
      </c>
      <c r="D15" s="1">
        <v>1.7267247613207899</v>
      </c>
      <c r="E15" s="1">
        <v>4.3656281849792897</v>
      </c>
      <c r="F15" s="1">
        <v>0.961196601322438</v>
      </c>
      <c r="G15" s="1">
        <v>6.5630790613226404</v>
      </c>
      <c r="H15" s="1">
        <v>1.5504092782650201</v>
      </c>
      <c r="I15" s="1">
        <v>6.5875819010309602</v>
      </c>
      <c r="J15" s="1">
        <v>9.0166421896814892</v>
      </c>
      <c r="K15" s="1">
        <v>0.75013922205622496</v>
      </c>
      <c r="L15" s="1">
        <v>7.0066382566082597</v>
      </c>
      <c r="M15" s="1">
        <v>1.6911064340059601</v>
      </c>
      <c r="N15" s="1">
        <v>6.6377020590646802</v>
      </c>
      <c r="O15" s="1">
        <v>11.0600489270858</v>
      </c>
      <c r="P15" s="1">
        <v>0.82192801076575495</v>
      </c>
    </row>
    <row r="16" spans="1:16" x14ac:dyDescent="0.25">
      <c r="A16" t="s">
        <v>2</v>
      </c>
      <c r="B16" s="1">
        <v>0.76123516349491305</v>
      </c>
      <c r="C16" s="1">
        <v>0.73568829123178703</v>
      </c>
      <c r="D16" s="1">
        <v>0.53522748019432598</v>
      </c>
      <c r="E16" s="1">
        <v>1.6102369889109001</v>
      </c>
      <c r="F16" s="1">
        <v>0.87783766507775696</v>
      </c>
      <c r="G16" s="1">
        <v>2.2515928648182499</v>
      </c>
      <c r="H16" s="1">
        <v>1.2708630685843401</v>
      </c>
      <c r="I16" s="1">
        <v>2.1095362189402298</v>
      </c>
      <c r="J16" s="1">
        <v>4.0073562285514797</v>
      </c>
      <c r="K16" s="1">
        <v>0.39839065830065601</v>
      </c>
      <c r="L16" s="1">
        <v>2.7142584235473102</v>
      </c>
      <c r="M16" s="1">
        <v>1.2448350228846601</v>
      </c>
      <c r="N16" s="1">
        <v>2.6486084869154398</v>
      </c>
      <c r="O16" s="1">
        <v>4.6514969590941497</v>
      </c>
      <c r="P16" s="1">
        <v>0.43936023335944102</v>
      </c>
    </row>
    <row r="17" spans="1:16" x14ac:dyDescent="0.25">
      <c r="A17" t="s">
        <v>3</v>
      </c>
      <c r="B17" s="1">
        <v>0.85379028385400701</v>
      </c>
      <c r="C17" s="1">
        <v>0.22912838293082499</v>
      </c>
      <c r="D17" s="1">
        <v>0.84387955346518195</v>
      </c>
      <c r="E17" s="1">
        <v>1.3541726111214101</v>
      </c>
      <c r="F17" s="1">
        <v>0.98728584987046997</v>
      </c>
      <c r="G17" s="1">
        <v>1.16157293661143</v>
      </c>
      <c r="H17" s="1">
        <v>0.31178865694517</v>
      </c>
      <c r="I17" s="1">
        <v>1.1827980487996701</v>
      </c>
      <c r="J17" s="1">
        <v>1.65398368939383</v>
      </c>
      <c r="K17" s="1">
        <v>0.995166805460308</v>
      </c>
      <c r="L17" s="1">
        <v>1.8021812002780599</v>
      </c>
      <c r="M17" s="1">
        <v>0.32842762139704301</v>
      </c>
      <c r="N17" s="1">
        <v>1.8032077594970399</v>
      </c>
      <c r="O17" s="1">
        <v>2.38605612370826</v>
      </c>
      <c r="P17" s="1">
        <v>0.99348848264338396</v>
      </c>
    </row>
    <row r="18" spans="1:16" x14ac:dyDescent="0.25">
      <c r="A18" t="s">
        <v>4</v>
      </c>
      <c r="B18" s="1">
        <v>4.2955416675485303</v>
      </c>
      <c r="C18" s="1">
        <v>2.1285308099159801</v>
      </c>
      <c r="D18" s="1">
        <v>4.2136905068906296</v>
      </c>
      <c r="E18" s="1">
        <v>7.4749852951640197</v>
      </c>
      <c r="F18" s="1">
        <v>0.85488175026429303</v>
      </c>
      <c r="G18" s="1">
        <v>18.099372618286001</v>
      </c>
      <c r="H18" s="1">
        <v>7.2461634109927804</v>
      </c>
      <c r="I18" s="1">
        <v>19.2320751477234</v>
      </c>
      <c r="J18" s="1">
        <v>27.5688440200977</v>
      </c>
      <c r="K18" s="1">
        <v>0.74739083978466703</v>
      </c>
      <c r="L18" s="1">
        <v>15.737257194167499</v>
      </c>
      <c r="M18" s="1">
        <v>5.4956307040459702</v>
      </c>
      <c r="N18" s="1">
        <v>16.4508394030658</v>
      </c>
      <c r="O18" s="1">
        <v>21.662129779624799</v>
      </c>
      <c r="P18" s="1">
        <v>0.72713870401965996</v>
      </c>
    </row>
    <row r="19" spans="1:16" x14ac:dyDescent="0.25">
      <c r="A19" t="s">
        <v>5</v>
      </c>
      <c r="B19" s="1">
        <v>0.49745826098954499</v>
      </c>
      <c r="C19" s="1">
        <v>0.49482353290755898</v>
      </c>
      <c r="D19" s="1">
        <v>0.34960681552240802</v>
      </c>
      <c r="E19" s="1">
        <v>1.2383204797477501</v>
      </c>
      <c r="F19" s="1">
        <v>0.99989440907029703</v>
      </c>
      <c r="G19" s="1">
        <v>2.71459140188264</v>
      </c>
      <c r="H19" s="1">
        <v>1.168918487382</v>
      </c>
      <c r="I19" s="1">
        <v>2.64492250424887</v>
      </c>
      <c r="J19" s="1">
        <v>5.2146535211517602</v>
      </c>
      <c r="K19" s="1">
        <v>0.99890793263452504</v>
      </c>
      <c r="L19" s="1">
        <v>3.13020600521227</v>
      </c>
      <c r="M19" s="1">
        <v>1.0126409576680799</v>
      </c>
      <c r="N19" s="1">
        <v>3.1473137309992398</v>
      </c>
      <c r="O19" s="1">
        <v>5.2881058341438099</v>
      </c>
      <c r="P19" s="1">
        <v>0.99915407054213701</v>
      </c>
    </row>
    <row r="21" spans="1:16" x14ac:dyDescent="0.25">
      <c r="B21" s="4" t="s">
        <v>11</v>
      </c>
      <c r="C21" s="4"/>
      <c r="D21" s="4" t="s">
        <v>12</v>
      </c>
      <c r="E21" s="4"/>
      <c r="F21" s="4" t="s">
        <v>13</v>
      </c>
      <c r="G21" s="4"/>
      <c r="I21" s="15"/>
      <c r="J21" s="9" t="s">
        <v>11</v>
      </c>
      <c r="K21" s="10"/>
      <c r="L21" s="9" t="s">
        <v>12</v>
      </c>
      <c r="M21" s="10"/>
      <c r="N21" s="9" t="s">
        <v>13</v>
      </c>
      <c r="O21" s="10"/>
    </row>
    <row r="22" spans="1:16" x14ac:dyDescent="0.25">
      <c r="B22" t="s">
        <v>20</v>
      </c>
      <c r="C22" t="s">
        <v>21</v>
      </c>
      <c r="D22" t="s">
        <v>20</v>
      </c>
      <c r="E22" t="s">
        <v>21</v>
      </c>
      <c r="F22" t="s">
        <v>20</v>
      </c>
      <c r="G22" t="s">
        <v>21</v>
      </c>
      <c r="I22" s="15"/>
      <c r="J22" s="11" t="s">
        <v>20</v>
      </c>
      <c r="K22" s="12" t="s">
        <v>21</v>
      </c>
      <c r="L22" s="11" t="s">
        <v>20</v>
      </c>
      <c r="M22" s="12" t="s">
        <v>21</v>
      </c>
      <c r="N22" s="11" t="s">
        <v>20</v>
      </c>
      <c r="O22" s="12" t="s">
        <v>21</v>
      </c>
    </row>
    <row r="23" spans="1:16" x14ac:dyDescent="0.25">
      <c r="A23" t="s">
        <v>0</v>
      </c>
      <c r="B23" s="1">
        <f>B4</f>
        <v>3.2088155058469998</v>
      </c>
      <c r="C23" s="1">
        <f>B14</f>
        <v>4.0902829598471699</v>
      </c>
      <c r="D23" s="1">
        <f>G4</f>
        <v>6.6462024780647697</v>
      </c>
      <c r="E23" s="1">
        <f>G14</f>
        <v>6.0695704024536701</v>
      </c>
      <c r="F23" s="1">
        <f>L4</f>
        <v>5.2945786256808702</v>
      </c>
      <c r="G23" s="1">
        <f>L14</f>
        <v>6.0778871222411297</v>
      </c>
      <c r="I23" s="15" t="s">
        <v>0</v>
      </c>
      <c r="J23" s="11" t="str">
        <f>TEXT(B4,"0.00") &amp; " ± " &amp; TEXT(C4,"0.00")</f>
        <v>3.21 ± 0.91</v>
      </c>
      <c r="K23" s="12" t="str">
        <f>TEXT(B14,"0.00") &amp; " ± " &amp; TEXT(C14,"0.00")</f>
        <v>4.09 ± 1.13</v>
      </c>
      <c r="L23" s="11" t="str">
        <f>TEXT(G4,"0.00") &amp; " ± " &amp; TEXT(H4,"0.00")</f>
        <v>6.65 ± 5.24</v>
      </c>
      <c r="M23" s="12" t="str">
        <f>TEXT(G14,"0.00") &amp; " ± " &amp; TEXT(H14,"0.00")</f>
        <v>6.07 ± 4.61</v>
      </c>
      <c r="N23" s="11" t="str">
        <f>TEXT(L4,"0.00") &amp; " ± " &amp; TEXT(M4,"0.00")</f>
        <v>5.29 ± 3.85</v>
      </c>
      <c r="O23" s="12" t="str">
        <f>TEXT(L14,"0.00") &amp; " ± " &amp; TEXT(M14,"0.00")</f>
        <v>6.08 ± 4.22</v>
      </c>
    </row>
    <row r="24" spans="1:16" x14ac:dyDescent="0.25">
      <c r="A24" t="s">
        <v>1</v>
      </c>
      <c r="B24" s="1">
        <f t="shared" ref="B24:B28" si="0">B5</f>
        <v>1.8272305635616399</v>
      </c>
      <c r="C24" s="1">
        <f t="shared" ref="C24:C28" si="1">B15</f>
        <v>2.26330540363143</v>
      </c>
      <c r="D24" s="1">
        <f t="shared" ref="D24:D28" si="2">G5</f>
        <v>7.0639384798379998</v>
      </c>
      <c r="E24" s="1">
        <f t="shared" ref="E24:E28" si="3">G15</f>
        <v>6.5630790613226404</v>
      </c>
      <c r="F24" s="1">
        <f t="shared" ref="F24:F28" si="4">L5</f>
        <v>6.1217279888108704</v>
      </c>
      <c r="G24" s="1">
        <f t="shared" ref="G24:G28" si="5">L15</f>
        <v>7.0066382566082597</v>
      </c>
      <c r="I24" s="15" t="s">
        <v>1</v>
      </c>
      <c r="J24" s="11" t="str">
        <f>TEXT(B5,"0.00") &amp; " ± " &amp; TEXT(C5,"0.00")</f>
        <v>1.83 ± 1.26</v>
      </c>
      <c r="K24" s="12" t="str">
        <f>TEXT(B15,"0.00") &amp; " ± " &amp; TEXT(C15,"0.00")</f>
        <v>2.26 ± 1.30</v>
      </c>
      <c r="L24" s="11" t="str">
        <f>TEXT(G5,"0.00") &amp; " ± " &amp; TEXT(H5,"0.00")</f>
        <v>7.06 ± 1.36</v>
      </c>
      <c r="M24" s="12" t="str">
        <f>TEXT(G15,"0.00") &amp; " ± " &amp; TEXT(H15,"0.00")</f>
        <v>6.56 ± 1.55</v>
      </c>
      <c r="N24" s="11" t="str">
        <f>TEXT(L5,"0.00") &amp; " ± " &amp; TEXT(M5,"0.00")</f>
        <v>6.12 ± 1.70</v>
      </c>
      <c r="O24" s="12" t="str">
        <f>TEXT(L15,"0.00") &amp; " ± " &amp; TEXT(M15,"0.00")</f>
        <v>7.01 ± 1.69</v>
      </c>
    </row>
    <row r="25" spans="1:16" x14ac:dyDescent="0.25">
      <c r="A25" t="s">
        <v>2</v>
      </c>
      <c r="B25" s="1">
        <f t="shared" si="0"/>
        <v>1.2815784691674601</v>
      </c>
      <c r="C25" s="1">
        <f t="shared" si="1"/>
        <v>0.76123516349491305</v>
      </c>
      <c r="D25" s="1">
        <f t="shared" si="2"/>
        <v>2.44907060232415</v>
      </c>
      <c r="E25" s="1">
        <f t="shared" si="3"/>
        <v>2.2515928648182499</v>
      </c>
      <c r="F25" s="1">
        <f t="shared" si="4"/>
        <v>3.85652302359202</v>
      </c>
      <c r="G25" s="1">
        <f t="shared" si="5"/>
        <v>2.7142584235473102</v>
      </c>
      <c r="I25" s="15" t="s">
        <v>2</v>
      </c>
      <c r="J25" s="11" t="str">
        <f>TEXT(B6,"0.00") &amp; " ± " &amp; TEXT(C6,"0.00")</f>
        <v>1.28 ± 0.88</v>
      </c>
      <c r="K25" s="12" t="str">
        <f>TEXT(B16,"0.00") &amp; " ± " &amp; TEXT(C16,"0.00")</f>
        <v>0.76 ± 0.74</v>
      </c>
      <c r="L25" s="11" t="str">
        <f>TEXT(G6,"0.00") &amp; " ± " &amp; TEXT(H6,"0.00")</f>
        <v>2.45 ± 1.11</v>
      </c>
      <c r="M25" s="12" t="str">
        <f>TEXT(G16,"0.00") &amp; " ± " &amp; TEXT(H16,"0.00")</f>
        <v>2.25 ± 1.27</v>
      </c>
      <c r="N25" s="11" t="str">
        <f>TEXT(L6,"0.00") &amp; " ± " &amp; TEXT(M6,"0.00")</f>
        <v>3.86 ± 1.36</v>
      </c>
      <c r="O25" s="12" t="str">
        <f>TEXT(L16,"0.00") &amp; " ± " &amp; TEXT(M16,"0.00")</f>
        <v>2.71 ± 1.24</v>
      </c>
    </row>
    <row r="26" spans="1:16" x14ac:dyDescent="0.25">
      <c r="A26" t="s">
        <v>3</v>
      </c>
      <c r="B26" s="1">
        <f t="shared" si="0"/>
        <v>0.41377717832845101</v>
      </c>
      <c r="C26" s="1">
        <f t="shared" si="1"/>
        <v>0.85379028385400701</v>
      </c>
      <c r="D26" s="1">
        <f t="shared" si="2"/>
        <v>1.2215939217885099</v>
      </c>
      <c r="E26" s="1">
        <f t="shared" si="3"/>
        <v>1.16157293661143</v>
      </c>
      <c r="F26" s="1">
        <f t="shared" si="4"/>
        <v>1.9989106633526399</v>
      </c>
      <c r="G26" s="1">
        <f t="shared" si="5"/>
        <v>1.8021812002780599</v>
      </c>
      <c r="I26" s="15" t="s">
        <v>3</v>
      </c>
      <c r="J26" s="11" t="str">
        <f>TEXT(B7,"0.00") &amp; " ± " &amp; TEXT(C7,"0.00")</f>
        <v>0.41 ± 0.27</v>
      </c>
      <c r="K26" s="12" t="str">
        <f>TEXT(B17,"0.00") &amp; " ± " &amp; TEXT(C17,"0.00")</f>
        <v>0.85 ± 0.23</v>
      </c>
      <c r="L26" s="11" t="str">
        <f>TEXT(G7,"0.00") &amp; " ± " &amp; TEXT(H7,"0.00")</f>
        <v>1.22 ± 0.28</v>
      </c>
      <c r="M26" s="12" t="str">
        <f>TEXT(G17,"0.00") &amp; " ± " &amp; TEXT(H17,"0.00")</f>
        <v>1.16 ± 0.31</v>
      </c>
      <c r="N26" s="11" t="str">
        <f>TEXT(L7,"0.00") &amp; " ± " &amp; TEXT(M7,"0.00")</f>
        <v>2.00 ± 0.33</v>
      </c>
      <c r="O26" s="12" t="str">
        <f>TEXT(L17,"0.00") &amp; " ± " &amp; TEXT(M17,"0.00")</f>
        <v>1.80 ± 0.33</v>
      </c>
    </row>
    <row r="27" spans="1:16" x14ac:dyDescent="0.25">
      <c r="A27" t="s">
        <v>4</v>
      </c>
      <c r="B27" s="1">
        <f t="shared" si="0"/>
        <v>5.4646244811304303</v>
      </c>
      <c r="C27" s="1">
        <f t="shared" si="1"/>
        <v>4.2955416675485303</v>
      </c>
      <c r="D27" s="1">
        <f t="shared" si="2"/>
        <v>17.547896274193899</v>
      </c>
      <c r="E27" s="1">
        <f t="shared" si="3"/>
        <v>18.099372618286001</v>
      </c>
      <c r="F27" s="1">
        <f t="shared" si="4"/>
        <v>15.8315786186881</v>
      </c>
      <c r="G27" s="1">
        <f t="shared" si="5"/>
        <v>15.737257194167499</v>
      </c>
      <c r="I27" s="15" t="s">
        <v>4</v>
      </c>
      <c r="J27" s="11" t="str">
        <f>TEXT(B8,"0.00") &amp; " ± " &amp; TEXT(C8,"0.00")</f>
        <v>5.46 ± 2.30</v>
      </c>
      <c r="K27" s="12" t="str">
        <f>TEXT(B18,"0.00") &amp; " ± " &amp; TEXT(C18,"0.00")</f>
        <v>4.30 ± 2.13</v>
      </c>
      <c r="L27" s="11" t="str">
        <f>TEXT(G8,"0.00") &amp; " ± " &amp; TEXT(H8,"0.00")</f>
        <v>17.55 ± 7.86</v>
      </c>
      <c r="M27" s="12" t="str">
        <f>TEXT(G18,"0.00") &amp; " ± " &amp; TEXT(H18,"0.00")</f>
        <v>18.10 ± 7.25</v>
      </c>
      <c r="N27" s="11" t="str">
        <f>TEXT(L8,"0.00") &amp; " ± " &amp; TEXT(M8,"0.00")</f>
        <v>15.83 ± 4.42</v>
      </c>
      <c r="O27" s="12" t="str">
        <f>TEXT(L18,"0.00") &amp; " ± " &amp; TEXT(M18,"0.00")</f>
        <v>15.74 ± 5.50</v>
      </c>
    </row>
    <row r="28" spans="1:16" x14ac:dyDescent="0.25">
      <c r="A28" t="s">
        <v>5</v>
      </c>
      <c r="B28" s="1">
        <f t="shared" si="0"/>
        <v>0.45960260884256998</v>
      </c>
      <c r="C28" s="1">
        <f t="shared" si="1"/>
        <v>0.49745826098954499</v>
      </c>
      <c r="D28" s="1">
        <f t="shared" si="2"/>
        <v>2.6670859091564001</v>
      </c>
      <c r="E28" s="1">
        <f t="shared" si="3"/>
        <v>2.71459140188264</v>
      </c>
      <c r="F28" s="1">
        <f t="shared" si="4"/>
        <v>3.1487293164673198</v>
      </c>
      <c r="G28" s="1">
        <f t="shared" si="5"/>
        <v>3.13020600521227</v>
      </c>
      <c r="I28" s="15" t="s">
        <v>5</v>
      </c>
      <c r="J28" s="11" t="str">
        <f>TEXT(B9,"0.00") &amp; " ± " &amp; TEXT(C9,"0.00")</f>
        <v>0.46 ± 0.46</v>
      </c>
      <c r="K28" s="12" t="str">
        <f>TEXT(B19,"0.00") &amp; " ± " &amp; TEXT(C19,"0.00")</f>
        <v>0.50 ± 0.49</v>
      </c>
      <c r="L28" s="11" t="str">
        <f>TEXT(G9,"0.00") &amp; " ± " &amp; TEXT(H9,"0.00")</f>
        <v>2.67 ± 1.22</v>
      </c>
      <c r="M28" s="12" t="str">
        <f>TEXT(G19,"0.00") &amp; " ± " &amp; TEXT(H19,"0.00")</f>
        <v>2.71 ± 1.17</v>
      </c>
      <c r="N28" s="11" t="str">
        <f>TEXT(L9,"0.00") &amp; " ± " &amp; TEXT(M9,"0.00")</f>
        <v>3.15 ± 0.66</v>
      </c>
      <c r="O28" s="12" t="str">
        <f>TEXT(L19,"0.00") &amp; " ± " &amp; TEXT(M19,"0.00")</f>
        <v>3.13 ± 1.01</v>
      </c>
    </row>
    <row r="30" spans="1:16" x14ac:dyDescent="0.25">
      <c r="B30" s="4" t="s">
        <v>11</v>
      </c>
      <c r="C30" s="4"/>
      <c r="D30" s="4" t="s">
        <v>12</v>
      </c>
      <c r="E30" s="4"/>
      <c r="F30" s="4" t="s">
        <v>13</v>
      </c>
      <c r="G30" s="4"/>
      <c r="I30" s="15"/>
      <c r="J30" s="9" t="s">
        <v>11</v>
      </c>
      <c r="K30" s="10"/>
      <c r="L30" s="9" t="s">
        <v>12</v>
      </c>
      <c r="M30" s="10"/>
      <c r="N30" s="9" t="s">
        <v>13</v>
      </c>
      <c r="O30" s="10"/>
    </row>
    <row r="31" spans="1:16" x14ac:dyDescent="0.25">
      <c r="B31" t="s">
        <v>20</v>
      </c>
      <c r="C31" t="s">
        <v>21</v>
      </c>
      <c r="D31" t="s">
        <v>20</v>
      </c>
      <c r="E31" t="s">
        <v>21</v>
      </c>
      <c r="F31" t="s">
        <v>20</v>
      </c>
      <c r="G31" t="s">
        <v>21</v>
      </c>
      <c r="I31" s="15"/>
      <c r="J31" s="11" t="s">
        <v>20</v>
      </c>
      <c r="K31" s="12" t="s">
        <v>21</v>
      </c>
      <c r="L31" s="11" t="s">
        <v>20</v>
      </c>
      <c r="M31" s="12" t="s">
        <v>21</v>
      </c>
      <c r="N31" s="11" t="s">
        <v>20</v>
      </c>
      <c r="O31" s="12" t="s">
        <v>21</v>
      </c>
    </row>
    <row r="32" spans="1:16" x14ac:dyDescent="0.25">
      <c r="A32" t="s">
        <v>0</v>
      </c>
      <c r="B32" s="1">
        <f>D4</f>
        <v>2.8659124777296099</v>
      </c>
      <c r="C32" s="1">
        <f>D14</f>
        <v>3.8666718884856102</v>
      </c>
      <c r="D32" s="1">
        <f>I4</f>
        <v>1.6683475175240501</v>
      </c>
      <c r="E32" s="1">
        <f>I14</f>
        <v>2.8551944244440999</v>
      </c>
      <c r="F32" s="1">
        <f>N4</f>
        <v>2.38679906495855</v>
      </c>
      <c r="G32" s="1">
        <f>N14</f>
        <v>3.6630578537298102</v>
      </c>
      <c r="I32" s="15" t="s">
        <v>0</v>
      </c>
      <c r="J32" s="11" t="str">
        <f>TEXT(D4,"0.00") &amp; " ▴ " &amp; TEXT(E4,"0.00")</f>
        <v>2.87 ▴ 5.27</v>
      </c>
      <c r="K32" s="12" t="str">
        <f>TEXT(D14,"0.00") &amp; " ▴ " &amp; TEXT(E14,"0.00")</f>
        <v>3.87 ▴ 6.81</v>
      </c>
      <c r="L32" s="11" t="str">
        <f>TEXT(I4,"0.00") &amp; " ▴ " &amp; TEXT(J4,"0.00")</f>
        <v>1.67 ▴ 17.07</v>
      </c>
      <c r="M32" s="12" t="str">
        <f>TEXT(I14,"0.00") &amp; " ▴ " &amp; TEXT(J14,"0.00")</f>
        <v>2.86 ▴ 14.53</v>
      </c>
      <c r="N32" s="11" t="str">
        <f>TEXT(N4,"0.00") &amp; " ▴ " &amp; TEXT(O4,"0.00")</f>
        <v>2.39 ▴ 13.05</v>
      </c>
      <c r="O32" s="12" t="str">
        <f>TEXT(N14,"0.00") &amp; " ▴ " &amp; TEXT(O14,"0.00")</f>
        <v>3.66 ▴ 11.92</v>
      </c>
    </row>
    <row r="33" spans="1:15" x14ac:dyDescent="0.25">
      <c r="A33" t="s">
        <v>1</v>
      </c>
      <c r="B33" s="1">
        <f t="shared" ref="B33:B37" si="6">D5</f>
        <v>1.3433967767398101</v>
      </c>
      <c r="C33" s="1">
        <f t="shared" ref="C33:C37" si="7">D15</f>
        <v>1.7267247613207899</v>
      </c>
      <c r="D33" s="1">
        <f t="shared" ref="D33:D37" si="8">I5</f>
        <v>6.7091501687396597</v>
      </c>
      <c r="E33" s="1">
        <f t="shared" ref="E33:E37" si="9">I15</f>
        <v>6.5875819010309602</v>
      </c>
      <c r="F33" s="1">
        <f t="shared" ref="F33:F37" si="10">N5</f>
        <v>6.0693888007527299</v>
      </c>
      <c r="G33" s="1">
        <f t="shared" ref="G33:G37" si="11">N15</f>
        <v>6.6377020590646802</v>
      </c>
      <c r="I33" s="15" t="s">
        <v>1</v>
      </c>
      <c r="J33" s="11" t="str">
        <f>TEXT(D5,"0.00") &amp; " ▴ " &amp; TEXT(E5,"0.00")</f>
        <v>1.34 ▴ 4.06</v>
      </c>
      <c r="K33" s="12" t="str">
        <f>TEXT(D15,"0.00") &amp; " ▴ " &amp; TEXT(E15,"0.00")</f>
        <v>1.73 ▴ 4.37</v>
      </c>
      <c r="L33" s="11" t="str">
        <f>TEXT(I5,"0.00") &amp; " ▴ " &amp; TEXT(J5,"0.00")</f>
        <v>6.71 ▴ 10.04</v>
      </c>
      <c r="M33" s="12" t="str">
        <f>TEXT(I15,"0.00") &amp; " ▴ " &amp; TEXT(J15,"0.00")</f>
        <v>6.59 ▴ 9.02</v>
      </c>
      <c r="N33" s="11" t="str">
        <f>TEXT(N5,"0.00") &amp; " ▴ " &amp; TEXT(O5,"0.00")</f>
        <v>6.07 ▴ 10.15</v>
      </c>
      <c r="O33" s="12" t="str">
        <f>TEXT(N15,"0.00") &amp; " ▴ " &amp; TEXT(O15,"0.00")</f>
        <v>6.64 ▴ 11.06</v>
      </c>
    </row>
    <row r="34" spans="1:15" x14ac:dyDescent="0.25">
      <c r="A34" t="s">
        <v>2</v>
      </c>
      <c r="B34" s="1">
        <f t="shared" si="6"/>
        <v>1.00507089517066</v>
      </c>
      <c r="C34" s="1">
        <f t="shared" si="7"/>
        <v>0.53522748019432598</v>
      </c>
      <c r="D34" s="1">
        <f t="shared" si="8"/>
        <v>2.2640863509146101</v>
      </c>
      <c r="E34" s="1">
        <f t="shared" si="9"/>
        <v>2.1095362189402298</v>
      </c>
      <c r="F34" s="1">
        <f t="shared" si="10"/>
        <v>3.4661718529955499</v>
      </c>
      <c r="G34" s="1">
        <f t="shared" si="11"/>
        <v>2.6486084869154398</v>
      </c>
      <c r="I34" s="15" t="s">
        <v>2</v>
      </c>
      <c r="J34" s="11" t="str">
        <f>TEXT(D6,"0.00") &amp; " ▴ " &amp; TEXT(E6,"0.00")</f>
        <v>1.01 ▴ 3.11</v>
      </c>
      <c r="K34" s="12" t="str">
        <f>TEXT(D16,"0.00") &amp; " ▴ " &amp; TEXT(E16,"0.00")</f>
        <v>0.54 ▴ 1.61</v>
      </c>
      <c r="L34" s="11" t="str">
        <f>TEXT(I6,"0.00") &amp; " ▴ " &amp; TEXT(J6,"0.00")</f>
        <v>2.26 ▴ 4.43</v>
      </c>
      <c r="M34" s="12" t="str">
        <f>TEXT(I16,"0.00") &amp; " ▴ " &amp; TEXT(J16,"0.00")</f>
        <v>2.11 ▴ 4.01</v>
      </c>
      <c r="N34" s="11" t="str">
        <f>TEXT(N6,"0.00") &amp; " ▴ " &amp; TEXT(O6,"0.00")</f>
        <v>3.47 ▴ 6.04</v>
      </c>
      <c r="O34" s="12" t="str">
        <f>TEXT(N16,"0.00") &amp; " ▴ " &amp; TEXT(O16,"0.00")</f>
        <v>2.65 ▴ 4.65</v>
      </c>
    </row>
    <row r="35" spans="1:15" x14ac:dyDescent="0.25">
      <c r="A35" t="s">
        <v>3</v>
      </c>
      <c r="B35" s="1">
        <f t="shared" si="6"/>
        <v>0.27054172691310202</v>
      </c>
      <c r="C35" s="1">
        <f t="shared" si="7"/>
        <v>0.84387955346518195</v>
      </c>
      <c r="D35" s="1">
        <f t="shared" si="8"/>
        <v>1.19193064784142</v>
      </c>
      <c r="E35" s="1">
        <f t="shared" si="9"/>
        <v>1.1827980487996701</v>
      </c>
      <c r="F35" s="1">
        <f t="shared" si="10"/>
        <v>1.9932274136964001</v>
      </c>
      <c r="G35" s="1">
        <f t="shared" si="11"/>
        <v>1.8032077594970399</v>
      </c>
      <c r="I35" s="15" t="s">
        <v>3</v>
      </c>
      <c r="J35" s="11" t="str">
        <f>TEXT(D7,"0.00") &amp; " ▴ " &amp; TEXT(E7,"0.00")</f>
        <v>0.27 ▴ 0.93</v>
      </c>
      <c r="K35" s="12" t="str">
        <f>TEXT(D17,"0.00") &amp; " ▴ " &amp; TEXT(E17,"0.00")</f>
        <v>0.84 ▴ 1.35</v>
      </c>
      <c r="L35" s="11" t="str">
        <f>TEXT(I7,"0.00") &amp; " ▴ " &amp; TEXT(J7,"0.00")</f>
        <v>1.19 ▴ 1.78</v>
      </c>
      <c r="M35" s="12" t="str">
        <f>TEXT(I17,"0.00") &amp; " ▴ " &amp; TEXT(J17,"0.00")</f>
        <v>1.18 ▴ 1.65</v>
      </c>
      <c r="N35" s="11" t="str">
        <f>TEXT(N7,"0.00") &amp; " ▴ " &amp; TEXT(O7,"0.00")</f>
        <v>1.99 ▴ 2.57</v>
      </c>
      <c r="O35" s="12" t="str">
        <f>TEXT(N17,"0.00") &amp; " ▴ " &amp; TEXT(O17,"0.00")</f>
        <v>1.80 ▴ 2.39</v>
      </c>
    </row>
    <row r="36" spans="1:15" x14ac:dyDescent="0.25">
      <c r="A36" t="s">
        <v>4</v>
      </c>
      <c r="B36" s="1">
        <f t="shared" si="6"/>
        <v>5.4496091502550996</v>
      </c>
      <c r="C36" s="1">
        <f t="shared" si="7"/>
        <v>4.2136905068906296</v>
      </c>
      <c r="D36" s="1">
        <f t="shared" si="8"/>
        <v>18.501208104486899</v>
      </c>
      <c r="E36" s="1">
        <f t="shared" si="9"/>
        <v>19.2320751477234</v>
      </c>
      <c r="F36" s="1">
        <f t="shared" si="10"/>
        <v>15.838516178412601</v>
      </c>
      <c r="G36" s="1">
        <f t="shared" si="11"/>
        <v>16.4508394030658</v>
      </c>
      <c r="I36" s="15" t="s">
        <v>4</v>
      </c>
      <c r="J36" s="11" t="str">
        <f>TEXT(D8,"0.00") &amp; " ▴ " &amp; TEXT(E8,"0.00")</f>
        <v>5.45 ▴ 8.59</v>
      </c>
      <c r="K36" s="12" t="str">
        <f>TEXT(D18,"0.00") &amp; " ▴ " &amp; TEXT(E18,"0.00")</f>
        <v>4.21 ▴ 7.47</v>
      </c>
      <c r="L36" s="11" t="str">
        <f>TEXT(I8,"0.00") &amp; " ▴ " &amp; TEXT(J8,"0.00")</f>
        <v>18.50 ▴ 24.52</v>
      </c>
      <c r="M36" s="12" t="str">
        <f>TEXT(I18,"0.00") &amp; " ▴ " &amp; TEXT(J18,"0.00")</f>
        <v>19.23 ▴ 27.57</v>
      </c>
      <c r="N36" s="11" t="str">
        <f>TEXT(N8,"0.00") &amp; " ▴ " &amp; TEXT(O8,"0.00")</f>
        <v>15.84 ▴ 22.33</v>
      </c>
      <c r="O36" s="12" t="str">
        <f>TEXT(N18,"0.00") &amp; " ▴ " &amp; TEXT(O18,"0.00")</f>
        <v>16.45 ▴ 21.66</v>
      </c>
    </row>
    <row r="37" spans="1:15" x14ac:dyDescent="0.25">
      <c r="A37" t="s">
        <v>5</v>
      </c>
      <c r="B37" s="1">
        <f t="shared" si="6"/>
        <v>0.26300445032012498</v>
      </c>
      <c r="C37" s="1">
        <f t="shared" si="7"/>
        <v>0.34960681552240802</v>
      </c>
      <c r="D37" s="1">
        <f t="shared" si="8"/>
        <v>2.6760234679403698</v>
      </c>
      <c r="E37" s="1">
        <f t="shared" si="9"/>
        <v>2.64492250424887</v>
      </c>
      <c r="F37" s="1">
        <f t="shared" si="10"/>
        <v>3.2232238735838701</v>
      </c>
      <c r="G37" s="1">
        <f t="shared" si="11"/>
        <v>3.1473137309992398</v>
      </c>
      <c r="I37" s="15" t="s">
        <v>5</v>
      </c>
      <c r="J37" s="11" t="str">
        <f>TEXT(D9,"0.00") &amp; " ▴ " &amp; TEXT(E9,"0.00")</f>
        <v>0.26 ▴ 0.96</v>
      </c>
      <c r="K37" s="12" t="str">
        <f>TEXT(D19,"0.00") &amp; " ▴ " &amp; TEXT(E19,"0.00")</f>
        <v>0.35 ▴ 1.24</v>
      </c>
      <c r="L37" s="11" t="str">
        <f>TEXT(I9,"0.00") &amp; " ▴ " &amp; TEXT(J9,"0.00")</f>
        <v>2.68 ▴ 4.34</v>
      </c>
      <c r="M37" s="12" t="str">
        <f>TEXT(I19,"0.00") &amp; " ▴ " &amp; TEXT(J19,"0.00")</f>
        <v>2.64 ▴ 5.21</v>
      </c>
      <c r="N37" s="11" t="str">
        <f>TEXT(N9,"0.00") &amp; " ▴ " &amp; TEXT(O9,"0.00")</f>
        <v>3.22 ▴ 4.31</v>
      </c>
      <c r="O37" s="12" t="str">
        <f>TEXT(N19,"0.00") &amp; " ▴ " &amp; TEXT(O19,"0.00")</f>
        <v>3.15 ▴ 5.29</v>
      </c>
    </row>
  </sheetData>
  <mergeCells count="18">
    <mergeCell ref="B21:C21"/>
    <mergeCell ref="D21:E21"/>
    <mergeCell ref="F21:G21"/>
    <mergeCell ref="B30:C30"/>
    <mergeCell ref="D30:E30"/>
    <mergeCell ref="F30:G30"/>
    <mergeCell ref="B2:F2"/>
    <mergeCell ref="G2:K2"/>
    <mergeCell ref="L2:P2"/>
    <mergeCell ref="B12:F12"/>
    <mergeCell ref="G12:K12"/>
    <mergeCell ref="L12:P12"/>
    <mergeCell ref="J21:K21"/>
    <mergeCell ref="L21:M21"/>
    <mergeCell ref="N21:O21"/>
    <mergeCell ref="J30:K30"/>
    <mergeCell ref="L30:M30"/>
    <mergeCell ref="N30:O30"/>
  </mergeCells>
  <conditionalFormatting sqref="J23:K28">
    <cfRule type="expression" dxfId="78" priority="12">
      <formula>($B23-$C23)&gt;0</formula>
    </cfRule>
    <cfRule type="expression" dxfId="77" priority="13">
      <formula>($B23-$C23)&lt;0</formula>
    </cfRule>
  </conditionalFormatting>
  <conditionalFormatting sqref="L23:M28">
    <cfRule type="expression" dxfId="76" priority="10">
      <formula>$D23-$E23&lt;0</formula>
    </cfRule>
    <cfRule type="expression" dxfId="75" priority="11">
      <formula>$D23-$E23&gt;0</formula>
    </cfRule>
  </conditionalFormatting>
  <conditionalFormatting sqref="N23:O28">
    <cfRule type="expression" dxfId="74" priority="7">
      <formula>$F23-$G23&lt;0</formula>
    </cfRule>
    <cfRule type="expression" dxfId="73" priority="9">
      <formula>$F23-$G23&gt;0</formula>
    </cfRule>
  </conditionalFormatting>
  <conditionalFormatting sqref="J32:K37">
    <cfRule type="expression" dxfId="72" priority="5">
      <formula>$B32-$C32&lt;0</formula>
    </cfRule>
    <cfRule type="expression" dxfId="71" priority="6">
      <formula>$B32-$C32&gt;0</formula>
    </cfRule>
  </conditionalFormatting>
  <conditionalFormatting sqref="L32:M37">
    <cfRule type="expression" dxfId="70" priority="3">
      <formula>$D32-$E32&lt;0</formula>
    </cfRule>
    <cfRule type="expression" dxfId="69" priority="4">
      <formula>$D32-$E32&gt;0</formula>
    </cfRule>
  </conditionalFormatting>
  <conditionalFormatting sqref="N32:O37">
    <cfRule type="expression" dxfId="68" priority="1">
      <formula>$F32-$G32&lt;0</formula>
    </cfRule>
    <cfRule type="expression" dxfId="67" priority="2">
      <formula>$F32-$G32&gt;0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DF5F7-7154-4960-9994-558E166B53FC}">
  <dimension ref="A1:P57"/>
  <sheetViews>
    <sheetView tabSelected="1" topLeftCell="A19" zoomScale="130" zoomScaleNormal="130" workbookViewId="0">
      <selection activeCell="M32" sqref="M32"/>
    </sheetView>
  </sheetViews>
  <sheetFormatPr defaultRowHeight="15" x14ac:dyDescent="0.25"/>
  <cols>
    <col min="1" max="16" width="12.7109375" customWidth="1"/>
  </cols>
  <sheetData>
    <row r="1" spans="1:16" x14ac:dyDescent="0.25">
      <c r="A1" t="s">
        <v>18</v>
      </c>
    </row>
    <row r="2" spans="1:16" x14ac:dyDescent="0.25">
      <c r="B2" s="4" t="s">
        <v>11</v>
      </c>
      <c r="C2" s="4"/>
      <c r="D2" s="4"/>
      <c r="E2" s="4"/>
      <c r="F2" s="4"/>
      <c r="G2" s="4" t="s">
        <v>12</v>
      </c>
      <c r="H2" s="4"/>
      <c r="I2" s="4"/>
      <c r="J2" s="4"/>
      <c r="K2" s="4"/>
      <c r="L2" s="4" t="s">
        <v>13</v>
      </c>
      <c r="M2" s="4"/>
      <c r="N2" s="4"/>
      <c r="O2" s="4"/>
      <c r="P2" s="4"/>
    </row>
    <row r="3" spans="1:16" x14ac:dyDescent="0.25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6</v>
      </c>
      <c r="M3" t="s">
        <v>7</v>
      </c>
      <c r="N3" t="s">
        <v>8</v>
      </c>
      <c r="O3" t="s">
        <v>9</v>
      </c>
      <c r="P3" t="s">
        <v>10</v>
      </c>
    </row>
    <row r="4" spans="1:16" x14ac:dyDescent="0.25">
      <c r="A4" t="s">
        <v>0</v>
      </c>
      <c r="B4" s="1">
        <v>3.2088155058469998</v>
      </c>
      <c r="C4" s="1">
        <v>0.90529660241363796</v>
      </c>
      <c r="D4" s="1">
        <v>2.8659124777296099</v>
      </c>
      <c r="E4" s="1">
        <v>5.2706748106636203</v>
      </c>
      <c r="F4" s="1">
        <v>0.99680921885733897</v>
      </c>
      <c r="G4" s="1">
        <v>6.6462024780647697</v>
      </c>
      <c r="H4" s="1">
        <v>5.2378216276296996</v>
      </c>
      <c r="I4" s="1">
        <v>1.6683475175240501</v>
      </c>
      <c r="J4" s="1">
        <v>17.0749329941493</v>
      </c>
      <c r="K4" s="1">
        <v>0.98086114647670797</v>
      </c>
      <c r="L4" s="1">
        <v>5.2945786256808702</v>
      </c>
      <c r="M4" s="1">
        <v>3.8542627317411999</v>
      </c>
      <c r="N4" s="1">
        <v>2.38679906495855</v>
      </c>
      <c r="O4" s="1">
        <v>13.0507510647928</v>
      </c>
      <c r="P4" s="1">
        <v>0.99058368351751802</v>
      </c>
    </row>
    <row r="5" spans="1:16" x14ac:dyDescent="0.25">
      <c r="A5" t="s">
        <v>1</v>
      </c>
      <c r="B5" s="1">
        <v>1.8272305635616399</v>
      </c>
      <c r="C5" s="1">
        <v>1.25893215873973</v>
      </c>
      <c r="D5" s="1">
        <v>1.3433967767398101</v>
      </c>
      <c r="E5" s="1">
        <v>4.0608357273799101</v>
      </c>
      <c r="F5" s="1">
        <v>0.96261023466837603</v>
      </c>
      <c r="G5" s="1">
        <v>7.0639384798379998</v>
      </c>
      <c r="H5" s="1">
        <v>1.3579066441995999</v>
      </c>
      <c r="I5" s="1">
        <v>6.7091501687396597</v>
      </c>
      <c r="J5" s="1">
        <v>10.0370986420655</v>
      </c>
      <c r="K5" s="1">
        <v>0.76602673956504697</v>
      </c>
      <c r="L5" s="1">
        <v>6.1217279888108704</v>
      </c>
      <c r="M5" s="1">
        <v>1.69731023486671</v>
      </c>
      <c r="N5" s="1">
        <v>6.0693888007527299</v>
      </c>
      <c r="O5" s="1">
        <v>10.1472963451677</v>
      </c>
      <c r="P5" s="1">
        <v>0.65949362038926895</v>
      </c>
    </row>
    <row r="6" spans="1:16" x14ac:dyDescent="0.25">
      <c r="A6" t="s">
        <v>2</v>
      </c>
      <c r="B6" s="1">
        <v>1.2815784691674601</v>
      </c>
      <c r="C6" s="1">
        <v>0.87617516655722605</v>
      </c>
      <c r="D6" s="1">
        <v>1.00507089517066</v>
      </c>
      <c r="E6" s="1">
        <v>3.1103786887887299</v>
      </c>
      <c r="F6" s="1">
        <v>0.79290340713504104</v>
      </c>
      <c r="G6" s="1">
        <v>2.44907060232415</v>
      </c>
      <c r="H6" s="1">
        <v>1.1115776418947501</v>
      </c>
      <c r="I6" s="1">
        <v>2.2640863509146101</v>
      </c>
      <c r="J6" s="1">
        <v>4.42926796272884</v>
      </c>
      <c r="K6" s="1">
        <v>0.58962686770992201</v>
      </c>
      <c r="L6" s="1">
        <v>3.85652302359202</v>
      </c>
      <c r="M6" s="1">
        <v>1.36118602993809</v>
      </c>
      <c r="N6" s="1">
        <v>3.4661718529955499</v>
      </c>
      <c r="O6" s="1">
        <v>6.0442309456168202</v>
      </c>
      <c r="P6" s="1">
        <v>0.34526311216319899</v>
      </c>
    </row>
    <row r="7" spans="1:16" x14ac:dyDescent="0.25">
      <c r="A7" t="s">
        <v>3</v>
      </c>
      <c r="B7" s="1">
        <v>0.41377717832845101</v>
      </c>
      <c r="C7" s="1">
        <v>0.267267551333637</v>
      </c>
      <c r="D7" s="1">
        <v>0.27054172691310202</v>
      </c>
      <c r="E7" s="1">
        <v>0.93157788879358705</v>
      </c>
      <c r="F7" s="1">
        <v>0.98544327609678595</v>
      </c>
      <c r="G7" s="1">
        <v>1.2215939217885099</v>
      </c>
      <c r="H7" s="1">
        <v>0.27587310775197299</v>
      </c>
      <c r="I7" s="1">
        <v>1.19193064784142</v>
      </c>
      <c r="J7" s="1">
        <v>1.78201623193379</v>
      </c>
      <c r="K7" s="1">
        <v>0.99521778584083997</v>
      </c>
      <c r="L7" s="1">
        <v>1.9989106633526399</v>
      </c>
      <c r="M7" s="1">
        <v>0.33147856421712601</v>
      </c>
      <c r="N7" s="1">
        <v>1.9932274136964001</v>
      </c>
      <c r="O7" s="1">
        <v>2.5661573306308099</v>
      </c>
      <c r="P7" s="1">
        <v>0.99415519867406199</v>
      </c>
    </row>
    <row r="8" spans="1:16" x14ac:dyDescent="0.25">
      <c r="A8" t="s">
        <v>4</v>
      </c>
      <c r="B8" s="1">
        <v>5.4646244811304303</v>
      </c>
      <c r="C8" s="1">
        <v>2.3021158623560001</v>
      </c>
      <c r="D8" s="1">
        <v>5.4496091502550996</v>
      </c>
      <c r="E8" s="1">
        <v>8.58528110806974</v>
      </c>
      <c r="F8" s="1">
        <v>0.79221439907574598</v>
      </c>
      <c r="G8" s="1">
        <v>17.547896274193899</v>
      </c>
      <c r="H8" s="1">
        <v>7.8577510150748298</v>
      </c>
      <c r="I8" s="1">
        <v>18.501208104486899</v>
      </c>
      <c r="J8" s="1">
        <v>24.5171155394724</v>
      </c>
      <c r="K8" s="1">
        <v>0.74641742917993303</v>
      </c>
      <c r="L8" s="1">
        <v>15.8315786186881</v>
      </c>
      <c r="M8" s="1">
        <v>4.4231484151388498</v>
      </c>
      <c r="N8" s="1">
        <v>15.838516178412601</v>
      </c>
      <c r="O8" s="1">
        <v>22.334107140532002</v>
      </c>
      <c r="P8" s="1">
        <v>0.805825170730467</v>
      </c>
    </row>
    <row r="9" spans="1:16" x14ac:dyDescent="0.25">
      <c r="A9" t="s">
        <v>5</v>
      </c>
      <c r="B9" s="1">
        <v>0.45960260884256998</v>
      </c>
      <c r="C9" s="1">
        <v>0.45994201118093297</v>
      </c>
      <c r="D9" s="1">
        <v>0.26300445032012498</v>
      </c>
      <c r="E9" s="1">
        <v>0.95594190570683302</v>
      </c>
      <c r="F9" s="1">
        <v>0.99983348751415602</v>
      </c>
      <c r="G9" s="1">
        <v>2.6670859091564001</v>
      </c>
      <c r="H9" s="1">
        <v>1.2202275532211599</v>
      </c>
      <c r="I9" s="1">
        <v>2.6760234679403698</v>
      </c>
      <c r="J9" s="1">
        <v>4.3391010198850699</v>
      </c>
      <c r="K9" s="1">
        <v>0.99870261961815898</v>
      </c>
      <c r="L9" s="1">
        <v>3.1487293164673198</v>
      </c>
      <c r="M9" s="1">
        <v>0.65570963954757999</v>
      </c>
      <c r="N9" s="1">
        <v>3.2232238735838701</v>
      </c>
      <c r="O9" s="1">
        <v>4.3115385023185802</v>
      </c>
      <c r="P9" s="1">
        <v>0.99960074687772005</v>
      </c>
    </row>
    <row r="11" spans="1:16" x14ac:dyDescent="0.25">
      <c r="A11" t="s">
        <v>19</v>
      </c>
    </row>
    <row r="12" spans="1:16" x14ac:dyDescent="0.25">
      <c r="B12" s="4" t="s">
        <v>11</v>
      </c>
      <c r="C12" s="4"/>
      <c r="D12" s="4"/>
      <c r="E12" s="4"/>
      <c r="F12" s="4"/>
      <c r="G12" s="4" t="s">
        <v>12</v>
      </c>
      <c r="H12" s="4"/>
      <c r="I12" s="4"/>
      <c r="J12" s="4"/>
      <c r="K12" s="4"/>
      <c r="L12" s="4" t="s">
        <v>13</v>
      </c>
      <c r="M12" s="4"/>
      <c r="N12" s="4"/>
      <c r="O12" s="4"/>
      <c r="P12" s="4"/>
    </row>
    <row r="13" spans="1:16" x14ac:dyDescent="0.25">
      <c r="B13" t="s">
        <v>6</v>
      </c>
      <c r="C13" t="s">
        <v>7</v>
      </c>
      <c r="D13" t="s">
        <v>8</v>
      </c>
      <c r="E13" t="s">
        <v>9</v>
      </c>
      <c r="F13" t="s">
        <v>10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6</v>
      </c>
      <c r="M13" t="s">
        <v>7</v>
      </c>
      <c r="N13" t="s">
        <v>8</v>
      </c>
      <c r="O13" t="s">
        <v>9</v>
      </c>
      <c r="P13" t="s">
        <v>10</v>
      </c>
    </row>
    <row r="14" spans="1:16" x14ac:dyDescent="0.25">
      <c r="A14" t="s">
        <v>0</v>
      </c>
      <c r="B14" s="1">
        <v>4.0902829598471699</v>
      </c>
      <c r="C14" s="1">
        <v>1.1297054488223399</v>
      </c>
      <c r="D14" s="1">
        <v>3.8666718884856102</v>
      </c>
      <c r="E14" s="1">
        <v>6.8067936991936104</v>
      </c>
      <c r="F14" s="1">
        <v>0.99700070375445105</v>
      </c>
      <c r="G14" s="1">
        <v>6.0695704024536701</v>
      </c>
      <c r="H14" s="1">
        <v>4.6112155370114998</v>
      </c>
      <c r="I14" s="1">
        <v>2.8551944244440999</v>
      </c>
      <c r="J14" s="1">
        <v>14.5332331956647</v>
      </c>
      <c r="K14" s="1">
        <v>0.98744631800372795</v>
      </c>
      <c r="L14" s="1">
        <v>6.0778871222411297</v>
      </c>
      <c r="M14" s="1">
        <v>4.2192932049627601</v>
      </c>
      <c r="N14" s="1">
        <v>3.6630578537298102</v>
      </c>
      <c r="O14" s="1">
        <v>11.915983660386299</v>
      </c>
      <c r="P14" s="1">
        <v>0.99099629026732206</v>
      </c>
    </row>
    <row r="15" spans="1:16" x14ac:dyDescent="0.25">
      <c r="A15" t="s">
        <v>1</v>
      </c>
      <c r="B15" s="1">
        <v>2.26330540363143</v>
      </c>
      <c r="C15" s="1">
        <v>1.2985034261556201</v>
      </c>
      <c r="D15" s="1">
        <v>1.7267247613207899</v>
      </c>
      <c r="E15" s="1">
        <v>4.3656281849792897</v>
      </c>
      <c r="F15" s="1">
        <v>0.961196601322438</v>
      </c>
      <c r="G15" s="1">
        <v>6.5630790613226404</v>
      </c>
      <c r="H15" s="1">
        <v>1.5504092782650201</v>
      </c>
      <c r="I15" s="1">
        <v>6.5875819010309602</v>
      </c>
      <c r="J15" s="1">
        <v>9.0166421896814892</v>
      </c>
      <c r="K15" s="1">
        <v>0.75013922205622496</v>
      </c>
      <c r="L15" s="1">
        <v>7.0066382566082597</v>
      </c>
      <c r="M15" s="1">
        <v>1.6911064340059601</v>
      </c>
      <c r="N15" s="1">
        <v>6.6377020590646802</v>
      </c>
      <c r="O15" s="1">
        <v>11.0600489270858</v>
      </c>
      <c r="P15" s="1">
        <v>0.82192801076575495</v>
      </c>
    </row>
    <row r="16" spans="1:16" x14ac:dyDescent="0.25">
      <c r="A16" t="s">
        <v>2</v>
      </c>
      <c r="B16" s="1">
        <v>0.76123516349491305</v>
      </c>
      <c r="C16" s="1">
        <v>0.73568829123178703</v>
      </c>
      <c r="D16" s="1">
        <v>0.53522748019432598</v>
      </c>
      <c r="E16" s="1">
        <v>1.6102369889109001</v>
      </c>
      <c r="F16" s="1">
        <v>0.87783766507775696</v>
      </c>
      <c r="G16" s="1">
        <v>2.2515928648182499</v>
      </c>
      <c r="H16" s="1">
        <v>1.2708630685843401</v>
      </c>
      <c r="I16" s="1">
        <v>2.1095362189402298</v>
      </c>
      <c r="J16" s="1">
        <v>4.0073562285514797</v>
      </c>
      <c r="K16" s="1">
        <v>0.39839065830065601</v>
      </c>
      <c r="L16" s="1">
        <v>2.7142584235473102</v>
      </c>
      <c r="M16" s="1">
        <v>1.2448350228846601</v>
      </c>
      <c r="N16" s="1">
        <v>2.6486084869154398</v>
      </c>
      <c r="O16" s="1">
        <v>4.6514969590941497</v>
      </c>
      <c r="P16" s="1">
        <v>0.43936023335944102</v>
      </c>
    </row>
    <row r="17" spans="1:16" x14ac:dyDescent="0.25">
      <c r="A17" t="s">
        <v>3</v>
      </c>
      <c r="B17" s="1">
        <v>0.85379028385400701</v>
      </c>
      <c r="C17" s="1">
        <v>0.22912838293082499</v>
      </c>
      <c r="D17" s="1">
        <v>0.84387955346518195</v>
      </c>
      <c r="E17" s="1">
        <v>1.3541726111214101</v>
      </c>
      <c r="F17" s="1">
        <v>0.98728584987046997</v>
      </c>
      <c r="G17" s="1">
        <v>1.16157293661143</v>
      </c>
      <c r="H17" s="1">
        <v>0.31178865694517</v>
      </c>
      <c r="I17" s="1">
        <v>1.1827980487996701</v>
      </c>
      <c r="J17" s="1">
        <v>1.65398368939383</v>
      </c>
      <c r="K17" s="1">
        <v>0.995166805460308</v>
      </c>
      <c r="L17" s="1">
        <v>1.8021812002780599</v>
      </c>
      <c r="M17" s="1">
        <v>0.32842762139704301</v>
      </c>
      <c r="N17" s="1">
        <v>1.8032077594970399</v>
      </c>
      <c r="O17" s="1">
        <v>2.38605612370826</v>
      </c>
      <c r="P17" s="1">
        <v>0.99348848264338396</v>
      </c>
    </row>
    <row r="18" spans="1:16" x14ac:dyDescent="0.25">
      <c r="A18" t="s">
        <v>4</v>
      </c>
      <c r="B18" s="1">
        <v>4.2955416675485303</v>
      </c>
      <c r="C18" s="1">
        <v>2.1285308099159801</v>
      </c>
      <c r="D18" s="1">
        <v>4.2136905068906296</v>
      </c>
      <c r="E18" s="1">
        <v>7.4749852951640197</v>
      </c>
      <c r="F18" s="1">
        <v>0.85488175026429303</v>
      </c>
      <c r="G18" s="1">
        <v>18.099372618286001</v>
      </c>
      <c r="H18" s="1">
        <v>7.2461634109927804</v>
      </c>
      <c r="I18" s="1">
        <v>19.2320751477234</v>
      </c>
      <c r="J18" s="1">
        <v>27.5688440200977</v>
      </c>
      <c r="K18" s="1">
        <v>0.74739083978466703</v>
      </c>
      <c r="L18" s="1">
        <v>15.737257194167499</v>
      </c>
      <c r="M18" s="1">
        <v>5.4956307040459702</v>
      </c>
      <c r="N18" s="1">
        <v>16.4508394030658</v>
      </c>
      <c r="O18" s="1">
        <v>21.662129779624799</v>
      </c>
      <c r="P18" s="1">
        <v>0.72713870401965996</v>
      </c>
    </row>
    <row r="19" spans="1:16" x14ac:dyDescent="0.25">
      <c r="A19" t="s">
        <v>5</v>
      </c>
      <c r="B19" s="1">
        <v>0.49745826098954499</v>
      </c>
      <c r="C19" s="1">
        <v>0.49482353290755898</v>
      </c>
      <c r="D19" s="1">
        <v>0.34960681552240802</v>
      </c>
      <c r="E19" s="1">
        <v>1.2383204797477501</v>
      </c>
      <c r="F19" s="1">
        <v>0.99989440907029703</v>
      </c>
      <c r="G19" s="1">
        <v>2.71459140188264</v>
      </c>
      <c r="H19" s="1">
        <v>1.168918487382</v>
      </c>
      <c r="I19" s="1">
        <v>2.64492250424887</v>
      </c>
      <c r="J19" s="1">
        <v>5.2146535211517602</v>
      </c>
      <c r="K19" s="1">
        <v>0.99890793263452504</v>
      </c>
      <c r="L19" s="1">
        <v>3.13020600521227</v>
      </c>
      <c r="M19" s="1">
        <v>1.0126409576680799</v>
      </c>
      <c r="N19" s="1">
        <v>3.1473137309992398</v>
      </c>
      <c r="O19" s="1">
        <v>5.2881058341438099</v>
      </c>
      <c r="P19" s="1">
        <v>0.99915407054213701</v>
      </c>
    </row>
    <row r="20" spans="1:16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t="s">
        <v>34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B22" s="4" t="s">
        <v>11</v>
      </c>
      <c r="C22" s="4"/>
      <c r="D22" s="4" t="s">
        <v>12</v>
      </c>
      <c r="E22" s="4"/>
      <c r="F22" s="4" t="s">
        <v>13</v>
      </c>
      <c r="G22" s="4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B23" s="1" t="s">
        <v>32</v>
      </c>
      <c r="C23" s="1" t="s">
        <v>33</v>
      </c>
      <c r="D23" s="1" t="s">
        <v>32</v>
      </c>
      <c r="E23" s="1" t="s">
        <v>33</v>
      </c>
      <c r="F23" s="1" t="s">
        <v>32</v>
      </c>
      <c r="G23" s="1" t="s">
        <v>33</v>
      </c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t="s">
        <v>0</v>
      </c>
      <c r="B24" s="25">
        <v>1</v>
      </c>
      <c r="C24" s="26">
        <v>1.85997601300463E-38</v>
      </c>
      <c r="D24" s="25">
        <v>0</v>
      </c>
      <c r="E24" s="26">
        <v>0.54126184660139898</v>
      </c>
      <c r="F24" s="25">
        <v>1</v>
      </c>
      <c r="G24" s="26">
        <v>1.5053577318397299E-4</v>
      </c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t="s">
        <v>1</v>
      </c>
      <c r="B25" s="25">
        <v>1</v>
      </c>
      <c r="C25" s="26">
        <v>1.5226779233754799E-11</v>
      </c>
      <c r="D25" s="25">
        <v>1</v>
      </c>
      <c r="E25" s="26">
        <v>9.8063131443357507E-15</v>
      </c>
      <c r="F25" s="25">
        <v>1</v>
      </c>
      <c r="G25" s="26">
        <v>3.0737935571875899E-28</v>
      </c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t="s">
        <v>2</v>
      </c>
      <c r="B26" s="25">
        <v>1</v>
      </c>
      <c r="C26" s="26">
        <v>1.7359359790871899E-98</v>
      </c>
      <c r="D26" s="25">
        <v>1</v>
      </c>
      <c r="E26" s="26">
        <v>3.1211137802301198E-8</v>
      </c>
      <c r="F26" s="25">
        <v>1</v>
      </c>
      <c r="G26" s="26">
        <v>6.1390299614830001E-74</v>
      </c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t="s">
        <v>3</v>
      </c>
      <c r="B27" s="25">
        <v>1</v>
      </c>
      <c r="C27" s="26">
        <v>7.8450103677538799E-173</v>
      </c>
      <c r="D27" s="25">
        <v>1</v>
      </c>
      <c r="E27" s="26">
        <v>7.7283916576270501E-7</v>
      </c>
      <c r="F27" s="25">
        <v>1</v>
      </c>
      <c r="G27" s="26">
        <v>2.06114322140907E-34</v>
      </c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t="s">
        <v>4</v>
      </c>
      <c r="B28" s="25">
        <v>1</v>
      </c>
      <c r="C28" s="26">
        <v>2.5240536099542802E-19</v>
      </c>
      <c r="D28" s="25">
        <v>1</v>
      </c>
      <c r="E28" s="26">
        <v>1.3668713459711801E-2</v>
      </c>
      <c r="F28" s="25">
        <v>0</v>
      </c>
      <c r="G28" s="26">
        <v>6.3146459475499003E-2</v>
      </c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t="s">
        <v>5</v>
      </c>
      <c r="B29" s="25">
        <v>0</v>
      </c>
      <c r="C29" s="26">
        <v>8.4226018213132997E-2</v>
      </c>
      <c r="D29" s="25">
        <v>0</v>
      </c>
      <c r="E29" s="26">
        <v>0.17229992837017299</v>
      </c>
      <c r="F29" s="25">
        <v>1</v>
      </c>
      <c r="G29" s="26">
        <v>5.4597335387266003E-3</v>
      </c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B30" s="25"/>
      <c r="C30" s="26"/>
      <c r="D30" s="25"/>
      <c r="E30" s="26"/>
      <c r="F30" s="25"/>
      <c r="G30" s="26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t="s">
        <v>34</v>
      </c>
      <c r="B31" s="25"/>
      <c r="C31" s="26"/>
      <c r="D31" s="25"/>
      <c r="E31" s="26"/>
      <c r="F31" s="25"/>
      <c r="G31" s="26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B32" s="4" t="s">
        <v>11</v>
      </c>
      <c r="C32" s="4"/>
      <c r="D32" s="4" t="s">
        <v>12</v>
      </c>
      <c r="E32" s="4"/>
      <c r="F32" s="4" t="s">
        <v>13</v>
      </c>
      <c r="G32" s="4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B33" s="1" t="s">
        <v>32</v>
      </c>
      <c r="C33" s="1" t="s">
        <v>33</v>
      </c>
      <c r="D33" s="1" t="s">
        <v>32</v>
      </c>
      <c r="E33" s="1" t="s">
        <v>33</v>
      </c>
      <c r="F33" s="1" t="s">
        <v>32</v>
      </c>
      <c r="G33" s="1" t="s">
        <v>33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t="s">
        <v>0</v>
      </c>
      <c r="B34" s="25">
        <v>1</v>
      </c>
      <c r="C34" s="26">
        <v>6.6804778712564598E-37</v>
      </c>
      <c r="D34" s="25">
        <v>0</v>
      </c>
      <c r="E34" s="26">
        <v>7.5810641888541294E-2</v>
      </c>
      <c r="F34" s="25">
        <v>1</v>
      </c>
      <c r="G34" s="26">
        <v>2.8673399772425798E-7</v>
      </c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t="s">
        <v>1</v>
      </c>
      <c r="B35" s="25">
        <v>1</v>
      </c>
      <c r="C35" s="26">
        <v>1.2863176246777599E-4</v>
      </c>
      <c r="D35" s="25">
        <v>1</v>
      </c>
      <c r="E35" s="26">
        <v>2.43041337151972E-4</v>
      </c>
      <c r="F35" s="25">
        <v>1</v>
      </c>
      <c r="G35" s="26">
        <v>1.63216049154259E-24</v>
      </c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t="s">
        <v>2</v>
      </c>
      <c r="B36" s="25">
        <v>1</v>
      </c>
      <c r="C36" s="26">
        <v>4.6674719784866803E-21</v>
      </c>
      <c r="D36" s="25">
        <v>1</v>
      </c>
      <c r="E36" s="26">
        <v>2.5724528187947599E-5</v>
      </c>
      <c r="F36" s="25">
        <v>1</v>
      </c>
      <c r="G36" s="26">
        <v>8.6565767890289508E-56</v>
      </c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t="s">
        <v>3</v>
      </c>
      <c r="B37" s="25">
        <v>1</v>
      </c>
      <c r="C37" s="26">
        <v>1.5600389430414901E-126</v>
      </c>
      <c r="D37" s="25">
        <v>1</v>
      </c>
      <c r="E37" s="26">
        <v>1.4922728716519501E-4</v>
      </c>
      <c r="F37" s="25">
        <v>1</v>
      </c>
      <c r="G37" s="26">
        <v>4.3440302970379702E-36</v>
      </c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t="s">
        <v>4</v>
      </c>
      <c r="B38" s="25">
        <v>1</v>
      </c>
      <c r="C38" s="26">
        <v>7.7442346905808305E-24</v>
      </c>
      <c r="D38" s="25">
        <v>0</v>
      </c>
      <c r="E38" s="26">
        <v>0.114293128743026</v>
      </c>
      <c r="F38" s="25">
        <v>0</v>
      </c>
      <c r="G38" s="26">
        <v>8.0610927049986E-2</v>
      </c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t="s">
        <v>5</v>
      </c>
      <c r="B39" s="25">
        <v>1</v>
      </c>
      <c r="C39" s="26">
        <v>1.66985561900377E-4</v>
      </c>
      <c r="D39" s="25">
        <v>0</v>
      </c>
      <c r="E39" s="26">
        <v>0.97473314680503398</v>
      </c>
      <c r="F39" s="25">
        <v>0</v>
      </c>
      <c r="G39" s="26">
        <v>0.35317840771888598</v>
      </c>
      <c r="H39" s="1"/>
      <c r="I39" s="1"/>
      <c r="J39" s="1"/>
      <c r="K39" s="1"/>
      <c r="L39" s="1"/>
      <c r="M39" s="1"/>
      <c r="N39" s="1"/>
      <c r="O39" s="1"/>
      <c r="P39" s="1"/>
    </row>
    <row r="41" spans="1:16" x14ac:dyDescent="0.25">
      <c r="B41" s="4" t="s">
        <v>11</v>
      </c>
      <c r="C41" s="4"/>
      <c r="D41" s="4" t="s">
        <v>12</v>
      </c>
      <c r="E41" s="4"/>
      <c r="F41" s="4" t="s">
        <v>13</v>
      </c>
      <c r="G41" s="4"/>
      <c r="I41" s="15"/>
      <c r="J41" s="9" t="s">
        <v>11</v>
      </c>
      <c r="K41" s="10"/>
      <c r="L41" s="9" t="s">
        <v>12</v>
      </c>
      <c r="M41" s="10"/>
      <c r="N41" s="9" t="s">
        <v>13</v>
      </c>
      <c r="O41" s="10"/>
    </row>
    <row r="42" spans="1:16" x14ac:dyDescent="0.25">
      <c r="B42" t="s">
        <v>20</v>
      </c>
      <c r="C42" t="s">
        <v>21</v>
      </c>
      <c r="D42" t="s">
        <v>20</v>
      </c>
      <c r="E42" t="s">
        <v>21</v>
      </c>
      <c r="F42" t="s">
        <v>20</v>
      </c>
      <c r="G42" t="s">
        <v>21</v>
      </c>
      <c r="I42" s="15"/>
      <c r="J42" s="11" t="s">
        <v>20</v>
      </c>
      <c r="K42" s="12" t="s">
        <v>21</v>
      </c>
      <c r="L42" s="11" t="s">
        <v>20</v>
      </c>
      <c r="M42" s="12" t="s">
        <v>21</v>
      </c>
      <c r="N42" s="11" t="s">
        <v>20</v>
      </c>
      <c r="O42" s="12" t="s">
        <v>21</v>
      </c>
    </row>
    <row r="43" spans="1:16" x14ac:dyDescent="0.25">
      <c r="A43" t="s">
        <v>0</v>
      </c>
      <c r="B43" s="1">
        <f>B4</f>
        <v>3.2088155058469998</v>
      </c>
      <c r="C43" s="1">
        <f>B14</f>
        <v>4.0902829598471699</v>
      </c>
      <c r="D43" s="1">
        <f>G4</f>
        <v>6.6462024780647697</v>
      </c>
      <c r="E43" s="1">
        <f>G14</f>
        <v>6.0695704024536701</v>
      </c>
      <c r="F43" s="1">
        <f>L4</f>
        <v>5.2945786256808702</v>
      </c>
      <c r="G43" s="1">
        <f>L14</f>
        <v>6.0778871222411297</v>
      </c>
      <c r="I43" s="15" t="s">
        <v>0</v>
      </c>
      <c r="J43" s="11" t="str">
        <f>TEXT(B4,"0.00") &amp; " ± " &amp; TEXT(C4,"0.00")</f>
        <v>3.21 ± 0.91</v>
      </c>
      <c r="K43" s="12" t="str">
        <f>TEXT(B14,"0.00") &amp; " ± " &amp; TEXT(C14,"0.00")</f>
        <v>4.09 ± 1.13</v>
      </c>
      <c r="L43" s="11" t="str">
        <f>TEXT(G4,"0.00") &amp; " ± " &amp; TEXT(H4,"0.00")</f>
        <v>6.65 ± 5.24</v>
      </c>
      <c r="M43" s="12" t="str">
        <f>TEXT(G14,"0.00") &amp; " ± " &amp; TEXT(H14,"0.00")</f>
        <v>6.07 ± 4.61</v>
      </c>
      <c r="N43" s="11" t="str">
        <f>TEXT(L4,"0.00") &amp; " ± " &amp; TEXT(M4,"0.00")</f>
        <v>5.29 ± 3.85</v>
      </c>
      <c r="O43" s="12" t="str">
        <f>TEXT(L14,"0.00") &amp; " ± " &amp; TEXT(M14,"0.00")</f>
        <v>6.08 ± 4.22</v>
      </c>
    </row>
    <row r="44" spans="1:16" x14ac:dyDescent="0.25">
      <c r="A44" t="s">
        <v>1</v>
      </c>
      <c r="B44" s="1">
        <f t="shared" ref="B44:B48" si="0">B5</f>
        <v>1.8272305635616399</v>
      </c>
      <c r="C44" s="1">
        <f t="shared" ref="C44:C48" si="1">B15</f>
        <v>2.26330540363143</v>
      </c>
      <c r="D44" s="1">
        <f t="shared" ref="D44:D48" si="2">G5</f>
        <v>7.0639384798379998</v>
      </c>
      <c r="E44" s="1">
        <f t="shared" ref="E44:E48" si="3">G15</f>
        <v>6.5630790613226404</v>
      </c>
      <c r="F44" s="1">
        <f t="shared" ref="F44:F48" si="4">L5</f>
        <v>6.1217279888108704</v>
      </c>
      <c r="G44" s="1">
        <f t="shared" ref="G44:G48" si="5">L15</f>
        <v>7.0066382566082597</v>
      </c>
      <c r="I44" s="15" t="s">
        <v>1</v>
      </c>
      <c r="J44" s="11" t="str">
        <f>TEXT(B5,"0.00") &amp; " ± " &amp; TEXT(C5,"0.00")</f>
        <v>1.83 ± 1.26</v>
      </c>
      <c r="K44" s="12" t="str">
        <f>TEXT(B15,"0.00") &amp; " ± " &amp; TEXT(C15,"0.00")</f>
        <v>2.26 ± 1.30</v>
      </c>
      <c r="L44" s="11" t="str">
        <f>TEXT(G5,"0.00") &amp; " ± " &amp; TEXT(H5,"0.00")</f>
        <v>7.06 ± 1.36</v>
      </c>
      <c r="M44" s="12" t="str">
        <f>TEXT(G15,"0.00") &amp; " ± " &amp; TEXT(H15,"0.00")</f>
        <v>6.56 ± 1.55</v>
      </c>
      <c r="N44" s="11" t="str">
        <f>TEXT(L5,"0.00") &amp; " ± " &amp; TEXT(M5,"0.00")</f>
        <v>6.12 ± 1.70</v>
      </c>
      <c r="O44" s="12" t="str">
        <f>TEXT(L15,"0.00") &amp; " ± " &amp; TEXT(M15,"0.00")</f>
        <v>7.01 ± 1.69</v>
      </c>
    </row>
    <row r="45" spans="1:16" x14ac:dyDescent="0.25">
      <c r="A45" t="s">
        <v>2</v>
      </c>
      <c r="B45" s="1">
        <f t="shared" si="0"/>
        <v>1.2815784691674601</v>
      </c>
      <c r="C45" s="1">
        <f t="shared" si="1"/>
        <v>0.76123516349491305</v>
      </c>
      <c r="D45" s="1">
        <f t="shared" si="2"/>
        <v>2.44907060232415</v>
      </c>
      <c r="E45" s="1">
        <f t="shared" si="3"/>
        <v>2.2515928648182499</v>
      </c>
      <c r="F45" s="1">
        <f t="shared" si="4"/>
        <v>3.85652302359202</v>
      </c>
      <c r="G45" s="1">
        <f t="shared" si="5"/>
        <v>2.7142584235473102</v>
      </c>
      <c r="I45" s="15" t="s">
        <v>2</v>
      </c>
      <c r="J45" s="11" t="str">
        <f>TEXT(B6,"0.00") &amp; " ± " &amp; TEXT(C6,"0.00")</f>
        <v>1.28 ± 0.88</v>
      </c>
      <c r="K45" s="12" t="str">
        <f>TEXT(B16,"0.00") &amp; " ± " &amp; TEXT(C16,"0.00")</f>
        <v>0.76 ± 0.74</v>
      </c>
      <c r="L45" s="11" t="str">
        <f>TEXT(G6,"0.00") &amp; " ± " &amp; TEXT(H6,"0.00")</f>
        <v>2.45 ± 1.11</v>
      </c>
      <c r="M45" s="12" t="str">
        <f>TEXT(G16,"0.00") &amp; " ± " &amp; TEXT(H16,"0.00")</f>
        <v>2.25 ± 1.27</v>
      </c>
      <c r="N45" s="11" t="str">
        <f>TEXT(L6,"0.00") &amp; " ± " &amp; TEXT(M6,"0.00")</f>
        <v>3.86 ± 1.36</v>
      </c>
      <c r="O45" s="12" t="str">
        <f>TEXT(L16,"0.00") &amp; " ± " &amp; TEXT(M16,"0.00")</f>
        <v>2.71 ± 1.24</v>
      </c>
    </row>
    <row r="46" spans="1:16" x14ac:dyDescent="0.25">
      <c r="A46" t="s">
        <v>3</v>
      </c>
      <c r="B46" s="1">
        <f t="shared" si="0"/>
        <v>0.41377717832845101</v>
      </c>
      <c r="C46" s="1">
        <f t="shared" si="1"/>
        <v>0.85379028385400701</v>
      </c>
      <c r="D46" s="1">
        <f t="shared" si="2"/>
        <v>1.2215939217885099</v>
      </c>
      <c r="E46" s="1">
        <f t="shared" si="3"/>
        <v>1.16157293661143</v>
      </c>
      <c r="F46" s="1">
        <f t="shared" si="4"/>
        <v>1.9989106633526399</v>
      </c>
      <c r="G46" s="1">
        <f t="shared" si="5"/>
        <v>1.8021812002780599</v>
      </c>
      <c r="I46" s="15" t="s">
        <v>3</v>
      </c>
      <c r="J46" s="11" t="str">
        <f>TEXT(B7,"0.00") &amp; " ± " &amp; TEXT(C7,"0.00")</f>
        <v>0.41 ± 0.27</v>
      </c>
      <c r="K46" s="12" t="str">
        <f>TEXT(B17,"0.00") &amp; " ± " &amp; TEXT(C17,"0.00")</f>
        <v>0.85 ± 0.23</v>
      </c>
      <c r="L46" s="11" t="str">
        <f>TEXT(G7,"0.00") &amp; " ± " &amp; TEXT(H7,"0.00")</f>
        <v>1.22 ± 0.28</v>
      </c>
      <c r="M46" s="12" t="str">
        <f>TEXT(G17,"0.00") &amp; " ± " &amp; TEXT(H17,"0.00")</f>
        <v>1.16 ± 0.31</v>
      </c>
      <c r="N46" s="11" t="str">
        <f>TEXT(L7,"0.00") &amp; " ± " &amp; TEXT(M7,"0.00")</f>
        <v>2.00 ± 0.33</v>
      </c>
      <c r="O46" s="12" t="str">
        <f>TEXT(L17,"0.00") &amp; " ± " &amp; TEXT(M17,"0.00")</f>
        <v>1.80 ± 0.33</v>
      </c>
    </row>
    <row r="47" spans="1:16" x14ac:dyDescent="0.25">
      <c r="A47" t="s">
        <v>4</v>
      </c>
      <c r="B47" s="1">
        <f t="shared" si="0"/>
        <v>5.4646244811304303</v>
      </c>
      <c r="C47" s="1">
        <f t="shared" si="1"/>
        <v>4.2955416675485303</v>
      </c>
      <c r="D47" s="1">
        <f t="shared" si="2"/>
        <v>17.547896274193899</v>
      </c>
      <c r="E47" s="1">
        <f t="shared" si="3"/>
        <v>18.099372618286001</v>
      </c>
      <c r="F47" s="1">
        <f t="shared" si="4"/>
        <v>15.8315786186881</v>
      </c>
      <c r="G47" s="1">
        <f t="shared" si="5"/>
        <v>15.737257194167499</v>
      </c>
      <c r="I47" s="15" t="s">
        <v>4</v>
      </c>
      <c r="J47" s="11" t="str">
        <f>TEXT(B8,"0.00") &amp; " ± " &amp; TEXT(C8,"0.00")</f>
        <v>5.46 ± 2.30</v>
      </c>
      <c r="K47" s="12" t="str">
        <f>TEXT(B18,"0.00") &amp; " ± " &amp; TEXT(C18,"0.00")</f>
        <v>4.30 ± 2.13</v>
      </c>
      <c r="L47" s="11" t="str">
        <f>TEXT(G8,"0.00") &amp; " ± " &amp; TEXT(H8,"0.00")</f>
        <v>17.55 ± 7.86</v>
      </c>
      <c r="M47" s="12" t="str">
        <f>TEXT(G18,"0.00") &amp; " ± " &amp; TEXT(H18,"0.00")</f>
        <v>18.10 ± 7.25</v>
      </c>
      <c r="N47" s="11" t="str">
        <f>TEXT(L8,"0.00") &amp; " ± " &amp; TEXT(M8,"0.00")</f>
        <v>15.83 ± 4.42</v>
      </c>
      <c r="O47" s="12" t="str">
        <f>TEXT(L18,"0.00") &amp; " ± " &amp; TEXT(M18,"0.00")</f>
        <v>15.74 ± 5.50</v>
      </c>
    </row>
    <row r="48" spans="1:16" x14ac:dyDescent="0.25">
      <c r="A48" t="s">
        <v>5</v>
      </c>
      <c r="B48" s="1">
        <f t="shared" si="0"/>
        <v>0.45960260884256998</v>
      </c>
      <c r="C48" s="1">
        <f t="shared" si="1"/>
        <v>0.49745826098954499</v>
      </c>
      <c r="D48" s="1">
        <f t="shared" si="2"/>
        <v>2.6670859091564001</v>
      </c>
      <c r="E48" s="1">
        <f t="shared" si="3"/>
        <v>2.71459140188264</v>
      </c>
      <c r="F48" s="1">
        <f t="shared" si="4"/>
        <v>3.1487293164673198</v>
      </c>
      <c r="G48" s="1">
        <f t="shared" si="5"/>
        <v>3.13020600521227</v>
      </c>
      <c r="I48" s="15" t="s">
        <v>5</v>
      </c>
      <c r="J48" s="11" t="str">
        <f>TEXT(B9,"0.00") &amp; " ± " &amp; TEXT(C9,"0.00")</f>
        <v>0.46 ± 0.46</v>
      </c>
      <c r="K48" s="12" t="str">
        <f>TEXT(B19,"0.00") &amp; " ± " &amp; TEXT(C19,"0.00")</f>
        <v>0.50 ± 0.49</v>
      </c>
      <c r="L48" s="11" t="str">
        <f>TEXT(G9,"0.00") &amp; " ± " &amp; TEXT(H9,"0.00")</f>
        <v>2.67 ± 1.22</v>
      </c>
      <c r="M48" s="12" t="str">
        <f>TEXT(G19,"0.00") &amp; " ± " &amp; TEXT(H19,"0.00")</f>
        <v>2.71 ± 1.17</v>
      </c>
      <c r="N48" s="11" t="str">
        <f>TEXT(L9,"0.00") &amp; " ± " &amp; TEXT(M9,"0.00")</f>
        <v>3.15 ± 0.66</v>
      </c>
      <c r="O48" s="12" t="str">
        <f>TEXT(L19,"0.00") &amp; " ± " &amp; TEXT(M19,"0.00")</f>
        <v>3.13 ± 1.01</v>
      </c>
    </row>
    <row r="50" spans="1:15" x14ac:dyDescent="0.25">
      <c r="B50" s="4" t="s">
        <v>11</v>
      </c>
      <c r="C50" s="4"/>
      <c r="D50" s="4" t="s">
        <v>12</v>
      </c>
      <c r="E50" s="4"/>
      <c r="F50" s="4" t="s">
        <v>13</v>
      </c>
      <c r="G50" s="4"/>
      <c r="I50" s="15"/>
      <c r="J50" s="9" t="s">
        <v>11</v>
      </c>
      <c r="K50" s="10"/>
      <c r="L50" s="9" t="s">
        <v>12</v>
      </c>
      <c r="M50" s="10"/>
      <c r="N50" s="9" t="s">
        <v>13</v>
      </c>
      <c r="O50" s="10"/>
    </row>
    <row r="51" spans="1:15" x14ac:dyDescent="0.25">
      <c r="B51" t="s">
        <v>20</v>
      </c>
      <c r="C51" t="s">
        <v>21</v>
      </c>
      <c r="D51" t="s">
        <v>20</v>
      </c>
      <c r="E51" t="s">
        <v>21</v>
      </c>
      <c r="F51" t="s">
        <v>20</v>
      </c>
      <c r="G51" t="s">
        <v>21</v>
      </c>
      <c r="I51" s="15"/>
      <c r="J51" s="11" t="s">
        <v>20</v>
      </c>
      <c r="K51" s="12" t="s">
        <v>21</v>
      </c>
      <c r="L51" s="11" t="s">
        <v>20</v>
      </c>
      <c r="M51" s="12" t="s">
        <v>21</v>
      </c>
      <c r="N51" s="11" t="s">
        <v>20</v>
      </c>
      <c r="O51" s="12" t="s">
        <v>21</v>
      </c>
    </row>
    <row r="52" spans="1:15" x14ac:dyDescent="0.25">
      <c r="A52" t="s">
        <v>0</v>
      </c>
      <c r="B52" s="1">
        <f>D4</f>
        <v>2.8659124777296099</v>
      </c>
      <c r="C52" s="1">
        <f>D14</f>
        <v>3.8666718884856102</v>
      </c>
      <c r="D52" s="1">
        <f>I4</f>
        <v>1.6683475175240501</v>
      </c>
      <c r="E52" s="1">
        <f>I14</f>
        <v>2.8551944244440999</v>
      </c>
      <c r="F52" s="1">
        <f>N4</f>
        <v>2.38679906495855</v>
      </c>
      <c r="G52" s="1">
        <f>N14</f>
        <v>3.6630578537298102</v>
      </c>
      <c r="I52" s="15" t="s">
        <v>0</v>
      </c>
      <c r="J52" s="11" t="str">
        <f>TEXT(D4,"0.00") &amp; " ▴ " &amp; TEXT(E4,"0.00")</f>
        <v>2.87 ▴ 5.27</v>
      </c>
      <c r="K52" s="12" t="str">
        <f>TEXT(D14,"0.00") &amp; " ▴ " &amp; TEXT(E14,"0.00")</f>
        <v>3.87 ▴ 6.81</v>
      </c>
      <c r="L52" s="11" t="str">
        <f>TEXT(I4,"0.00") &amp; " ▴ " &amp; TEXT(J4,"0.00")</f>
        <v>1.67 ▴ 17.07</v>
      </c>
      <c r="M52" s="12" t="str">
        <f>TEXT(I14,"0.00") &amp; " ▴ " &amp; TEXT(J14,"0.00")</f>
        <v>2.86 ▴ 14.53</v>
      </c>
      <c r="N52" s="11" t="str">
        <f>TEXT(N4,"0.00") &amp; " ▴ " &amp; TEXT(O4,"0.00")</f>
        <v>2.39 ▴ 13.05</v>
      </c>
      <c r="O52" s="12" t="str">
        <f>TEXT(N14,"0.00") &amp; " ▴ " &amp; TEXT(O14,"0.00")</f>
        <v>3.66 ▴ 11.92</v>
      </c>
    </row>
    <row r="53" spans="1:15" x14ac:dyDescent="0.25">
      <c r="A53" t="s">
        <v>1</v>
      </c>
      <c r="B53" s="1">
        <f t="shared" ref="B53:B57" si="6">D5</f>
        <v>1.3433967767398101</v>
      </c>
      <c r="C53" s="1">
        <f t="shared" ref="C53:C57" si="7">D15</f>
        <v>1.7267247613207899</v>
      </c>
      <c r="D53" s="1">
        <f t="shared" ref="D53:D57" si="8">I5</f>
        <v>6.7091501687396597</v>
      </c>
      <c r="E53" s="1">
        <f t="shared" ref="E53:E57" si="9">I15</f>
        <v>6.5875819010309602</v>
      </c>
      <c r="F53" s="1">
        <f t="shared" ref="F53:F57" si="10">N5</f>
        <v>6.0693888007527299</v>
      </c>
      <c r="G53" s="1">
        <f t="shared" ref="G53:G57" si="11">N15</f>
        <v>6.6377020590646802</v>
      </c>
      <c r="I53" s="15" t="s">
        <v>1</v>
      </c>
      <c r="J53" s="11" t="str">
        <f>TEXT(D5,"0.00") &amp; " ▴ " &amp; TEXT(E5,"0.00")</f>
        <v>1.34 ▴ 4.06</v>
      </c>
      <c r="K53" s="12" t="str">
        <f>TEXT(D15,"0.00") &amp; " ▴ " &amp; TEXT(E15,"0.00")</f>
        <v>1.73 ▴ 4.37</v>
      </c>
      <c r="L53" s="11" t="str">
        <f>TEXT(I5,"0.00") &amp; " ▴ " &amp; TEXT(J5,"0.00")</f>
        <v>6.71 ▴ 10.04</v>
      </c>
      <c r="M53" s="12" t="str">
        <f>TEXT(I15,"0.00") &amp; " ▴ " &amp; TEXT(J15,"0.00")</f>
        <v>6.59 ▴ 9.02</v>
      </c>
      <c r="N53" s="11" t="str">
        <f>TEXT(N5,"0.00") &amp; " ▴ " &amp; TEXT(O5,"0.00")</f>
        <v>6.07 ▴ 10.15</v>
      </c>
      <c r="O53" s="12" t="str">
        <f>TEXT(N15,"0.00") &amp; " ▴ " &amp; TEXT(O15,"0.00")</f>
        <v>6.64 ▴ 11.06</v>
      </c>
    </row>
    <row r="54" spans="1:15" x14ac:dyDescent="0.25">
      <c r="A54" t="s">
        <v>2</v>
      </c>
      <c r="B54" s="1">
        <f t="shared" si="6"/>
        <v>1.00507089517066</v>
      </c>
      <c r="C54" s="1">
        <f t="shared" si="7"/>
        <v>0.53522748019432598</v>
      </c>
      <c r="D54" s="1">
        <f t="shared" si="8"/>
        <v>2.2640863509146101</v>
      </c>
      <c r="E54" s="1">
        <f t="shared" si="9"/>
        <v>2.1095362189402298</v>
      </c>
      <c r="F54" s="1">
        <f t="shared" si="10"/>
        <v>3.4661718529955499</v>
      </c>
      <c r="G54" s="1">
        <f t="shared" si="11"/>
        <v>2.6486084869154398</v>
      </c>
      <c r="I54" s="15" t="s">
        <v>2</v>
      </c>
      <c r="J54" s="11" t="str">
        <f>TEXT(D6,"0.00") &amp; " ▴ " &amp; TEXT(E6,"0.00")</f>
        <v>1.01 ▴ 3.11</v>
      </c>
      <c r="K54" s="12" t="str">
        <f>TEXT(D16,"0.00") &amp; " ▴ " &amp; TEXT(E16,"0.00")</f>
        <v>0.54 ▴ 1.61</v>
      </c>
      <c r="L54" s="11" t="str">
        <f>TEXT(I6,"0.00") &amp; " ▴ " &amp; TEXT(J6,"0.00")</f>
        <v>2.26 ▴ 4.43</v>
      </c>
      <c r="M54" s="12" t="str">
        <f>TEXT(I16,"0.00") &amp; " ▴ " &amp; TEXT(J16,"0.00")</f>
        <v>2.11 ▴ 4.01</v>
      </c>
      <c r="N54" s="11" t="str">
        <f>TEXT(N6,"0.00") &amp; " ▴ " &amp; TEXT(O6,"0.00")</f>
        <v>3.47 ▴ 6.04</v>
      </c>
      <c r="O54" s="12" t="str">
        <f>TEXT(N16,"0.00") &amp; " ▴ " &amp; TEXT(O16,"0.00")</f>
        <v>2.65 ▴ 4.65</v>
      </c>
    </row>
    <row r="55" spans="1:15" x14ac:dyDescent="0.25">
      <c r="A55" t="s">
        <v>3</v>
      </c>
      <c r="B55" s="1">
        <f t="shared" si="6"/>
        <v>0.27054172691310202</v>
      </c>
      <c r="C55" s="1">
        <f t="shared" si="7"/>
        <v>0.84387955346518195</v>
      </c>
      <c r="D55" s="1">
        <f t="shared" si="8"/>
        <v>1.19193064784142</v>
      </c>
      <c r="E55" s="1">
        <f t="shared" si="9"/>
        <v>1.1827980487996701</v>
      </c>
      <c r="F55" s="1">
        <f t="shared" si="10"/>
        <v>1.9932274136964001</v>
      </c>
      <c r="G55" s="1">
        <f t="shared" si="11"/>
        <v>1.8032077594970399</v>
      </c>
      <c r="I55" s="15" t="s">
        <v>3</v>
      </c>
      <c r="J55" s="11" t="str">
        <f>TEXT(D7,"0.00") &amp; " ▴ " &amp; TEXT(E7,"0.00")</f>
        <v>0.27 ▴ 0.93</v>
      </c>
      <c r="K55" s="12" t="str">
        <f>TEXT(D17,"0.00") &amp; " ▴ " &amp; TEXT(E17,"0.00")</f>
        <v>0.84 ▴ 1.35</v>
      </c>
      <c r="L55" s="11" t="str">
        <f>TEXT(I7,"0.00") &amp; " ▴ " &amp; TEXT(J7,"0.00")</f>
        <v>1.19 ▴ 1.78</v>
      </c>
      <c r="M55" s="12" t="str">
        <f>TEXT(I17,"0.00") &amp; " ▴ " &amp; TEXT(J17,"0.00")</f>
        <v>1.18 ▴ 1.65</v>
      </c>
      <c r="N55" s="11" t="str">
        <f>TEXT(N7,"0.00") &amp; " ▴ " &amp; TEXT(O7,"0.00")</f>
        <v>1.99 ▴ 2.57</v>
      </c>
      <c r="O55" s="12" t="str">
        <f>TEXT(N17,"0.00") &amp; " ▴ " &amp; TEXT(O17,"0.00")</f>
        <v>1.80 ▴ 2.39</v>
      </c>
    </row>
    <row r="56" spans="1:15" x14ac:dyDescent="0.25">
      <c r="A56" t="s">
        <v>4</v>
      </c>
      <c r="B56" s="1">
        <f t="shared" si="6"/>
        <v>5.4496091502550996</v>
      </c>
      <c r="C56" s="1">
        <f t="shared" si="7"/>
        <v>4.2136905068906296</v>
      </c>
      <c r="D56" s="1">
        <f t="shared" si="8"/>
        <v>18.501208104486899</v>
      </c>
      <c r="E56" s="1">
        <f t="shared" si="9"/>
        <v>19.2320751477234</v>
      </c>
      <c r="F56" s="1">
        <f t="shared" si="10"/>
        <v>15.838516178412601</v>
      </c>
      <c r="G56" s="1">
        <f t="shared" si="11"/>
        <v>16.4508394030658</v>
      </c>
      <c r="I56" s="15" t="s">
        <v>4</v>
      </c>
      <c r="J56" s="11" t="str">
        <f>TEXT(D8,"0.00") &amp; " ▴ " &amp; TEXT(E8,"0.00")</f>
        <v>5.45 ▴ 8.59</v>
      </c>
      <c r="K56" s="12" t="str">
        <f>TEXT(D18,"0.00") &amp; " ▴ " &amp; TEXT(E18,"0.00")</f>
        <v>4.21 ▴ 7.47</v>
      </c>
      <c r="L56" s="11" t="str">
        <f>TEXT(I8,"0.00") &amp; " ▴ " &amp; TEXT(J8,"0.00")</f>
        <v>18.50 ▴ 24.52</v>
      </c>
      <c r="M56" s="12" t="str">
        <f>TEXT(I18,"0.00") &amp; " ▴ " &amp; TEXT(J18,"0.00")</f>
        <v>19.23 ▴ 27.57</v>
      </c>
      <c r="N56" s="11" t="str">
        <f>TEXT(N8,"0.00") &amp; " ▴ " &amp; TEXT(O8,"0.00")</f>
        <v>15.84 ▴ 22.33</v>
      </c>
      <c r="O56" s="12" t="str">
        <f>TEXT(N18,"0.00") &amp; " ▴ " &amp; TEXT(O18,"0.00")</f>
        <v>16.45 ▴ 21.66</v>
      </c>
    </row>
    <row r="57" spans="1:15" x14ac:dyDescent="0.25">
      <c r="A57" t="s">
        <v>5</v>
      </c>
      <c r="B57" s="1">
        <f t="shared" si="6"/>
        <v>0.26300445032012498</v>
      </c>
      <c r="C57" s="1">
        <f t="shared" si="7"/>
        <v>0.34960681552240802</v>
      </c>
      <c r="D57" s="1">
        <f t="shared" si="8"/>
        <v>2.6760234679403698</v>
      </c>
      <c r="E57" s="1">
        <f t="shared" si="9"/>
        <v>2.64492250424887</v>
      </c>
      <c r="F57" s="1">
        <f t="shared" si="10"/>
        <v>3.2232238735838701</v>
      </c>
      <c r="G57" s="1">
        <f t="shared" si="11"/>
        <v>3.1473137309992398</v>
      </c>
      <c r="I57" s="15" t="s">
        <v>5</v>
      </c>
      <c r="J57" s="11" t="str">
        <f>TEXT(D9,"0.00") &amp; " ▴ " &amp; TEXT(E9,"0.00")</f>
        <v>0.26 ▴ 0.96</v>
      </c>
      <c r="K57" s="12" t="str">
        <f>TEXT(D19,"0.00") &amp; " ▴ " &amp; TEXT(E19,"0.00")</f>
        <v>0.35 ▴ 1.24</v>
      </c>
      <c r="L57" s="11" t="str">
        <f>TEXT(I9,"0.00") &amp; " ▴ " &amp; TEXT(J9,"0.00")</f>
        <v>2.68 ▴ 4.34</v>
      </c>
      <c r="M57" s="12" t="str">
        <f>TEXT(I19,"0.00") &amp; " ▴ " &amp; TEXT(J19,"0.00")</f>
        <v>2.64 ▴ 5.21</v>
      </c>
      <c r="N57" s="11" t="str">
        <f>TEXT(N9,"0.00") &amp; " ▴ " &amp; TEXT(O9,"0.00")</f>
        <v>3.22 ▴ 4.31</v>
      </c>
      <c r="O57" s="12" t="str">
        <f>TEXT(N19,"0.00") &amp; " ▴ " &amp; TEXT(O19,"0.00")</f>
        <v>3.15 ▴ 5.29</v>
      </c>
    </row>
  </sheetData>
  <mergeCells count="24">
    <mergeCell ref="B22:C22"/>
    <mergeCell ref="D22:E22"/>
    <mergeCell ref="F22:G22"/>
    <mergeCell ref="B32:C32"/>
    <mergeCell ref="D32:E32"/>
    <mergeCell ref="F32:G32"/>
    <mergeCell ref="B50:C50"/>
    <mergeCell ref="D50:E50"/>
    <mergeCell ref="F50:G50"/>
    <mergeCell ref="J50:K50"/>
    <mergeCell ref="L50:M50"/>
    <mergeCell ref="N50:O50"/>
    <mergeCell ref="B41:C41"/>
    <mergeCell ref="D41:E41"/>
    <mergeCell ref="F41:G41"/>
    <mergeCell ref="J41:K41"/>
    <mergeCell ref="L41:M41"/>
    <mergeCell ref="N41:O41"/>
    <mergeCell ref="B2:F2"/>
    <mergeCell ref="G2:K2"/>
    <mergeCell ref="L2:P2"/>
    <mergeCell ref="B12:F12"/>
    <mergeCell ref="G12:K12"/>
    <mergeCell ref="L12:P12"/>
  </mergeCells>
  <conditionalFormatting sqref="J52:K57">
    <cfRule type="expression" dxfId="34" priority="11">
      <formula>$B52-$C52&lt;0</formula>
    </cfRule>
    <cfRule type="expression" dxfId="33" priority="12">
      <formula>$B52-$C52&gt;0</formula>
    </cfRule>
    <cfRule type="expression" dxfId="32" priority="3" stopIfTrue="1">
      <formula>$B34=0</formula>
    </cfRule>
  </conditionalFormatting>
  <conditionalFormatting sqref="L52:M57">
    <cfRule type="expression" dxfId="31" priority="9">
      <formula>$D52-$E52&lt;0</formula>
    </cfRule>
    <cfRule type="expression" dxfId="30" priority="10">
      <formula>$D52-$E52&gt;0</formula>
    </cfRule>
    <cfRule type="expression" dxfId="29" priority="2" stopIfTrue="1">
      <formula>$D34=0</formula>
    </cfRule>
  </conditionalFormatting>
  <conditionalFormatting sqref="N52:O57">
    <cfRule type="expression" dxfId="18" priority="7">
      <formula>$F52-$G52&lt;0</formula>
    </cfRule>
    <cfRule type="expression" dxfId="19" priority="8">
      <formula>$F52-$G52&gt;0</formula>
    </cfRule>
    <cfRule type="expression" dxfId="17" priority="1" stopIfTrue="1">
      <formula>$F34=0</formula>
    </cfRule>
  </conditionalFormatting>
  <conditionalFormatting sqref="J43:K48">
    <cfRule type="expression" dxfId="28" priority="100" stopIfTrue="1">
      <formula>($B24=0)</formula>
    </cfRule>
    <cfRule type="expression" dxfId="27" priority="101">
      <formula>($B43-$C43)&gt;0</formula>
    </cfRule>
    <cfRule type="expression" dxfId="26" priority="102">
      <formula>($B43-$C43)&lt;0</formula>
    </cfRule>
  </conditionalFormatting>
  <conditionalFormatting sqref="L43:M48">
    <cfRule type="expression" dxfId="25" priority="103" stopIfTrue="1">
      <formula>$D24=0</formula>
    </cfRule>
    <cfRule type="expression" dxfId="24" priority="104">
      <formula>$D43-$E43&lt;0</formula>
    </cfRule>
    <cfRule type="expression" dxfId="23" priority="105">
      <formula>$D43-$E43&gt;0</formula>
    </cfRule>
  </conditionalFormatting>
  <conditionalFormatting sqref="N43:O48">
    <cfRule type="expression" dxfId="22" priority="106" stopIfTrue="1">
      <formula>$F24=0</formula>
    </cfRule>
    <cfRule type="expression" dxfId="21" priority="107">
      <formula>$F43-$G43&lt;0</formula>
    </cfRule>
    <cfRule type="expression" dxfId="20" priority="108">
      <formula>$F43-$G43&gt;0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F5659-FA73-46B5-97B1-D9DF7B5CFE87}">
  <dimension ref="A1:K12"/>
  <sheetViews>
    <sheetView zoomScale="175" zoomScaleNormal="175" workbookViewId="0">
      <selection activeCell="A32" sqref="A32"/>
    </sheetView>
  </sheetViews>
  <sheetFormatPr defaultRowHeight="15" x14ac:dyDescent="0.25"/>
  <cols>
    <col min="1" max="1" width="15.7109375" bestFit="1" customWidth="1"/>
    <col min="2" max="9" width="12.7109375" customWidth="1"/>
  </cols>
  <sheetData>
    <row r="1" spans="1:11" x14ac:dyDescent="0.25">
      <c r="B1" s="4" t="s">
        <v>28</v>
      </c>
      <c r="C1" s="4"/>
      <c r="D1" s="4" t="s">
        <v>29</v>
      </c>
      <c r="E1" s="4"/>
      <c r="F1" s="4" t="s">
        <v>12</v>
      </c>
      <c r="G1" s="4"/>
      <c r="H1" s="4" t="s">
        <v>11</v>
      </c>
      <c r="I1" s="4"/>
      <c r="J1" s="4"/>
      <c r="K1" s="4"/>
    </row>
    <row r="2" spans="1:11" x14ac:dyDescent="0.25">
      <c r="B2" t="s">
        <v>26</v>
      </c>
      <c r="C2" t="s">
        <v>27</v>
      </c>
      <c r="D2" t="s">
        <v>26</v>
      </c>
      <c r="E2" t="s">
        <v>27</v>
      </c>
      <c r="F2" t="s">
        <v>26</v>
      </c>
      <c r="G2" t="s">
        <v>27</v>
      </c>
      <c r="H2" t="s">
        <v>26</v>
      </c>
      <c r="I2" t="s">
        <v>27</v>
      </c>
    </row>
    <row r="3" spans="1:11" x14ac:dyDescent="0.25">
      <c r="A3" t="s">
        <v>30</v>
      </c>
      <c r="B3">
        <v>1.5950326481907</v>
      </c>
      <c r="C3">
        <v>0.191615948098493</v>
      </c>
      <c r="D3">
        <v>1.49974894766178</v>
      </c>
      <c r="E3">
        <v>0.16887778112778401</v>
      </c>
      <c r="F3">
        <v>1.21188744894645</v>
      </c>
      <c r="G3">
        <v>0.16491021443244899</v>
      </c>
      <c r="H3">
        <v>0.93239369238328595</v>
      </c>
      <c r="I3">
        <v>0.24046268546746499</v>
      </c>
    </row>
    <row r="4" spans="1:11" x14ac:dyDescent="0.25">
      <c r="A4" t="s">
        <v>31</v>
      </c>
      <c r="B4">
        <v>4.2612260838798903</v>
      </c>
      <c r="C4">
        <v>0.25647923273703299</v>
      </c>
      <c r="D4">
        <v>3.76412833012323</v>
      </c>
      <c r="E4">
        <v>0.47329103879545997</v>
      </c>
      <c r="F4">
        <v>3.6828805773637399</v>
      </c>
      <c r="G4">
        <v>0.50470634581892904</v>
      </c>
      <c r="H4">
        <v>1.70779155788536</v>
      </c>
      <c r="I4">
        <v>0.433397838553298</v>
      </c>
    </row>
    <row r="6" spans="1:11" x14ac:dyDescent="0.25">
      <c r="A6" s="6"/>
      <c r="B6" s="24" t="s">
        <v>28</v>
      </c>
      <c r="C6" s="24" t="s">
        <v>29</v>
      </c>
      <c r="D6" s="24" t="s">
        <v>12</v>
      </c>
      <c r="E6" s="24" t="s">
        <v>11</v>
      </c>
      <c r="G6" s="23"/>
      <c r="I6" s="23"/>
    </row>
    <row r="7" spans="1:11" x14ac:dyDescent="0.25">
      <c r="A7" s="6" t="s">
        <v>30</v>
      </c>
      <c r="B7" s="6">
        <f>B3</f>
        <v>1.5950326481907</v>
      </c>
      <c r="C7" s="6">
        <f>D3</f>
        <v>1.49974894766178</v>
      </c>
      <c r="D7" s="6">
        <f>F3</f>
        <v>1.21188744894645</v>
      </c>
      <c r="E7" s="6">
        <f>H3</f>
        <v>0.93239369238328595</v>
      </c>
    </row>
    <row r="8" spans="1:11" x14ac:dyDescent="0.25">
      <c r="A8" s="6" t="s">
        <v>31</v>
      </c>
      <c r="B8" s="6">
        <f>B4</f>
        <v>4.2612260838798903</v>
      </c>
      <c r="C8" s="6">
        <f>D4</f>
        <v>3.76412833012323</v>
      </c>
      <c r="D8" s="6">
        <f>F4</f>
        <v>3.6828805773637399</v>
      </c>
      <c r="E8" s="6">
        <f>H4</f>
        <v>1.70779155788536</v>
      </c>
    </row>
    <row r="10" spans="1:11" x14ac:dyDescent="0.25">
      <c r="A10" s="6"/>
      <c r="B10" s="24" t="s">
        <v>28</v>
      </c>
      <c r="C10" s="24" t="s">
        <v>29</v>
      </c>
      <c r="D10" s="24" t="s">
        <v>12</v>
      </c>
      <c r="E10" s="24" t="s">
        <v>11</v>
      </c>
    </row>
    <row r="11" spans="1:11" x14ac:dyDescent="0.25">
      <c r="A11" s="6" t="s">
        <v>30</v>
      </c>
      <c r="B11" s="6" t="str">
        <f>TEXT(B3,"0.00") &amp; " ± " &amp; TEXT(C3,"0.00")</f>
        <v>1.60 ± 0.19</v>
      </c>
      <c r="C11" s="6" t="str">
        <f>TEXT(D3,"0.00") &amp; " ± " &amp; TEXT(E3,"0.00")</f>
        <v>1.50 ± 0.17</v>
      </c>
      <c r="D11" s="6" t="str">
        <f>TEXT(F3,"0.00") &amp; " ± " &amp; TEXT(G3,"0.00")</f>
        <v>1.21 ± 0.16</v>
      </c>
      <c r="E11" s="20" t="str">
        <f>TEXT(H3,"0.00") &amp; " ± " &amp; TEXT(I3,"0.00")</f>
        <v>0.93 ± 0.24</v>
      </c>
      <c r="G11" t="s">
        <v>25</v>
      </c>
    </row>
    <row r="12" spans="1:11" x14ac:dyDescent="0.25">
      <c r="A12" s="6" t="s">
        <v>31</v>
      </c>
      <c r="B12" s="6" t="str">
        <f>TEXT(B4,"0.00") &amp; " ± " &amp; TEXT(C4,"0.00")</f>
        <v>4.26 ± 0.26</v>
      </c>
      <c r="C12" s="6" t="str">
        <f>TEXT(D4,"0.00") &amp; " ± " &amp; TEXT(E4,"0.00")</f>
        <v>3.76 ± 0.47</v>
      </c>
      <c r="D12" s="6" t="str">
        <f>TEXT(F4,"0.00") &amp; " ± " &amp; TEXT(G4,"0.00")</f>
        <v>3.68 ± 0.50</v>
      </c>
      <c r="E12" s="20" t="str">
        <f>TEXT(H4,"0.00") &amp; " ± " &amp; TEXT(I4,"0.00")</f>
        <v>1.71 ± 0.43</v>
      </c>
    </row>
  </sheetData>
  <mergeCells count="5">
    <mergeCell ref="B1:C1"/>
    <mergeCell ref="D1:E1"/>
    <mergeCell ref="F1:G1"/>
    <mergeCell ref="H1:I1"/>
    <mergeCell ref="J1:K1"/>
  </mergeCells>
  <conditionalFormatting sqref="B7:E8">
    <cfRule type="expression" dxfId="66" priority="1">
      <formula>B7=MIN($B7:$E7)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kinematicEval</vt:lpstr>
      <vt:lpstr>kinematicEval_firstlast</vt:lpstr>
      <vt:lpstr>kinematicEval_firstlast (2)</vt:lpstr>
      <vt:lpstr>registrationEval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Christie</dc:creator>
  <cp:lastModifiedBy>Dennis Christie</cp:lastModifiedBy>
  <dcterms:created xsi:type="dcterms:W3CDTF">2025-08-11T16:41:28Z</dcterms:created>
  <dcterms:modified xsi:type="dcterms:W3CDTF">2025-08-12T16:35:31Z</dcterms:modified>
</cp:coreProperties>
</file>